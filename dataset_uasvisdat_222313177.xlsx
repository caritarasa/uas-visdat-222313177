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wadharma\Downloads\"/>
    </mc:Choice>
  </mc:AlternateContent>
  <xr:revisionPtr revIDLastSave="0" documentId="13_ncr:1_{9F31B761-7D0C-4861-9232-3553D846F983}" xr6:coauthVersionLast="47" xr6:coauthVersionMax="47" xr10:uidLastSave="{00000000-0000-0000-0000-000000000000}"/>
  <bookViews>
    <workbookView xWindow="9510" yWindow="0" windowWidth="9780" windowHeight="11370" firstSheet="4" activeTab="5" xr2:uid="{0BCEEED3-E25E-41BD-9491-F3BDEAAE7EF4}"/>
  </bookViews>
  <sheets>
    <sheet name="dunia_hindu" sheetId="4" r:id="rId1"/>
    <sheet name="Sheet1" sheetId="6" r:id="rId2"/>
    <sheet name="nasional_terbaru" sheetId="1" r:id="rId3"/>
    <sheet name="jakarta_pura" sheetId="2" r:id="rId4"/>
    <sheet name="jakarta_umat" sheetId="3" r:id="rId5"/>
    <sheet name="tempek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" i="2"/>
  <c r="E4" i="3"/>
  <c r="E5" i="3"/>
  <c r="E6" i="3"/>
  <c r="E7" i="3"/>
  <c r="E9" i="3"/>
  <c r="E10" i="3"/>
  <c r="E11" i="3"/>
  <c r="E12" i="3"/>
  <c r="E13" i="3"/>
  <c r="E15" i="3"/>
  <c r="E16" i="3"/>
  <c r="E17" i="3"/>
  <c r="E18" i="3"/>
  <c r="E19" i="3"/>
  <c r="E21" i="3"/>
  <c r="E22" i="3"/>
  <c r="E23" i="3"/>
  <c r="E24" i="3"/>
  <c r="E25" i="3"/>
  <c r="E27" i="3"/>
  <c r="E28" i="3"/>
  <c r="E29" i="3"/>
  <c r="E30" i="3"/>
  <c r="E31" i="3"/>
  <c r="E3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</calcChain>
</file>

<file path=xl/sharedStrings.xml><?xml version="1.0" encoding="utf-8"?>
<sst xmlns="http://schemas.openxmlformats.org/spreadsheetml/2006/main" count="1324" uniqueCount="408">
  <si>
    <t>tahun</t>
  </si>
  <si>
    <t>kabkot</t>
  </si>
  <si>
    <t>jumlahUmat</t>
  </si>
  <si>
    <t>jumlahPura</t>
  </si>
  <si>
    <t>rasioUmatPura</t>
  </si>
  <si>
    <t>provinsi</t>
  </si>
  <si>
    <t>kec</t>
  </si>
  <si>
    <t>longitude</t>
  </si>
  <si>
    <t>latitude</t>
  </si>
  <si>
    <t>namaPura</t>
  </si>
  <si>
    <t>alamat</t>
  </si>
  <si>
    <t>hariPiodalan</t>
  </si>
  <si>
    <t>area</t>
  </si>
  <si>
    <t>negaraTujuan</t>
  </si>
  <si>
    <t>negaraAsal</t>
  </si>
  <si>
    <t>banjar</t>
  </si>
  <si>
    <t>SDHD Banjar Jakarta Pusat</t>
  </si>
  <si>
    <t>Tempek Tanah Abang</t>
  </si>
  <si>
    <t>SDHD Banjar Jakarta Timur</t>
  </si>
  <si>
    <t>Tempek Rawamangun</t>
  </si>
  <si>
    <t>SDHD Banjar Jakarta Barat</t>
  </si>
  <si>
    <t>Tempek Palmerah</t>
  </si>
  <si>
    <t>SDHD Banjar Jakarta Selatan</t>
  </si>
  <si>
    <t>Tempek Cipete </t>
  </si>
  <si>
    <t>SDHD Banjar Jakarta Utara</t>
  </si>
  <si>
    <t>Tempek Airud</t>
  </si>
  <si>
    <t>Tempek Kemayoran</t>
  </si>
  <si>
    <t>Tempek Utan Kayu</t>
  </si>
  <si>
    <t>Tempek Petamburan</t>
  </si>
  <si>
    <t>Tempek Pamulang Utama </t>
  </si>
  <si>
    <t>Tempek Beng Pus Ang</t>
  </si>
  <si>
    <t>Tempek Cempaka Putih</t>
  </si>
  <si>
    <t>Tempek Cipinang</t>
  </si>
  <si>
    <t>Tempek Cengkareng</t>
  </si>
  <si>
    <t>Tempek Cinere </t>
  </si>
  <si>
    <t>Tempek Cilincing</t>
  </si>
  <si>
    <t>Tempek Salemba</t>
  </si>
  <si>
    <t>Tempek Kampung Ambon</t>
  </si>
  <si>
    <t>Tempek Tanjung Duren</t>
  </si>
  <si>
    <t>Tempek Pondok Cabe</t>
  </si>
  <si>
    <t>Tempek Kelapa Gading</t>
  </si>
  <si>
    <t>Tempek Rawasari</t>
  </si>
  <si>
    <t>Tempek Tanah Kusir</t>
  </si>
  <si>
    <t>Tempek Koterm</t>
  </si>
  <si>
    <t>Tempek Kelender</t>
  </si>
  <si>
    <t>Tempek Limo</t>
  </si>
  <si>
    <t>Tempek PJKA</t>
  </si>
  <si>
    <t>Tempek Jatiwaringin</t>
  </si>
  <si>
    <t>Tempek Kebayoran Baru</t>
  </si>
  <si>
    <t>Tempek Podomoro</t>
  </si>
  <si>
    <t>Tempek Pondok bambu</t>
  </si>
  <si>
    <t>Tempek Pasar Minggu</t>
  </si>
  <si>
    <t>Tempek Sampur</t>
  </si>
  <si>
    <t>Tempek Cijantung</t>
  </si>
  <si>
    <t>Tempek Pondok Karya</t>
  </si>
  <si>
    <t>Tempek Yon Ang Air</t>
  </si>
  <si>
    <t>Tempek Sukapura</t>
  </si>
  <si>
    <t>Tempek Lenteng Agung</t>
  </si>
  <si>
    <t>Tempek Kalibata</t>
  </si>
  <si>
    <t>Tempek Univ. Pancasila</t>
  </si>
  <si>
    <t>Tempek Cilandak</t>
  </si>
  <si>
    <t>Tempek Halim</t>
  </si>
  <si>
    <t>Tempek Pulo Gebang</t>
  </si>
  <si>
    <t>Afghanistan</t>
  </si>
  <si>
    <t>Albania</t>
  </si>
  <si>
    <t>Algeria</t>
  </si>
  <si>
    <t>Angola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</si>
  <si>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</si>
  <si>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</si>
  <si>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</si>
  <si>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</si>
  <si>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</si>
  <si>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</si>
  <si>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</si>
  <si>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</si>
  <si>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</si>
  <si>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</si>
  <si>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</si>
  <si>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</si>
  <si>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</si>
  <si>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</si>
  <si>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</si>
  <si>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</si>
  <si>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</si>
  <si>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</si>
  <si>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</si>
  <si>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</si>
  <si>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</si>
  <si>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</si>
  <si>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</si>
  <si>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</si>
  <si>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</si>
  <si>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</si>
  <si>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</si>
  <si>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</si>
  <si>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</si>
  <si>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</si>
  <si>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</si>
  <si>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</si>
  <si>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</si>
  <si>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</si>
  <si>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</si>
  <si>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</si>
  <si>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</si>
  <si>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</si>
  <si>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</si>
  <si>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</si>
  <si>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</si>
  <si>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</si>
  <si>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</si>
  <si>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</si>
  <si>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</si>
  <si>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</si>
  <si>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</si>
  <si>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</si>
  <si>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</si>
  <si>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</si>
  <si>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</si>
  <si>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</si>
  <si>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</si>
  <si>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</si>
  <si>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</si>
  <si>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</si>
  <si>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</si>
  <si>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</si>
  <si>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</si>
  <si>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</si>
  <si>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</si>
  <si>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</si>
  <si>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</si>
  <si>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</si>
  <si>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</si>
  <si>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</si>
  <si>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</si>
  <si>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</si>
  <si>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</si>
  <si>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</si>
  <si>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</si>
  <si>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</si>
  <si>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</si>
  <si>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</si>
  <si>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</si>
  <si>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</si>
  <si>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</si>
  <si>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</si>
  <si>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</si>
  <si>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</si>
  <si>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</si>
  <si>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</si>
  <si>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</si>
  <si>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</si>
  <si>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</si>
  <si>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</si>
  <si>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</si>
  <si>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</si>
  <si>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</si>
  <si>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</si>
  <si>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</si>
  <si>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</si>
  <si>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</si>
  <si>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</si>
  <si>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</si>
  <si>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</si>
  <si>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</si>
  <si>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</si>
  <si>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</si>
  <si>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</si>
  <si>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</si>
  <si>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</si>
  <si>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</si>
  <si>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</si>
  <si>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</si>
  <si>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</si>
  <si>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</si>
  <si>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</si>
  <si>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</si>
  <si>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</si>
  <si>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</si>
  <si>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</si>
  <si>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</si>
  <si>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</si>
  <si>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</si>
  <si>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</si>
  <si>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</si>
  <si>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</si>
  <si>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</si>
  <si>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</si>
  <si>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</si>
  <si>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</si>
  <si>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</si>
  <si>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</si>
  <si>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</si>
  <si>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</si>
  <si>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</si>
  <si>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</si>
  <si>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</si>
  <si>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</si>
  <si>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</si>
  <si>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</si>
  <si>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</si>
  <si>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</si>
  <si>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</si>
  <si>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</si>
  <si>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</si>
  <si>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</si>
  <si>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</si>
  <si>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</si>
  <si>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</si>
  <si>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</si>
  <si>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</si>
  <si>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</si>
  <si>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</si>
  <si>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</si>
  <si>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</si>
  <si>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</si>
  <si>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</si>
  <si>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</si>
  <si>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</si>
  <si>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</si>
  <si>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</si>
  <si>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</si>
  <si>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</si>
  <si>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</si>
  <si>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</si>
  <si>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</si>
  <si>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</si>
  <si>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</si>
  <si>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</si>
  <si>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</si>
  <si>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</si>
  <si>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</si>
  <si>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</si>
  <si>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</si>
  <si>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</si>
  <si>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</si>
  <si>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</si>
  <si>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</si>
  <si>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</si>
  <si>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</si>
  <si>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</si>
  <si>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</si>
  <si>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</si>
  <si>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</si>
  <si>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</si>
  <si>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</si>
  <si>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</si>
  <si>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</si>
  <si>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</si>
  <si>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</si>
  <si>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</si>
  <si>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</si>
  <si>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</si>
  <si>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</si>
  <si>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</si>
  <si>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</si>
  <si>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</si>
  <si>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</si>
  <si>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</si>
  <si>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</si>
  <si>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</si>
  <si>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</si>
  <si>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</si>
  <si>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</si>
  <si>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PersentaseUmatHinduNegara</t>
  </si>
  <si>
    <t>Tahun</t>
  </si>
  <si>
    <t>JumlahUmatHinduNegara</t>
  </si>
  <si>
    <t>Papua Barat Daya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</si>
  <si>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</si>
  <si>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</si>
  <si>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</si>
  <si>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</si>
  <si>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</si>
  <si>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</si>
  <si>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</si>
  <si>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</si>
  <si>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</si>
  <si>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</si>
  <si>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</si>
  <si>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</si>
  <si>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</si>
  <si>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</si>
  <si>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</si>
  <si>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</si>
  <si>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</si>
  <si>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</si>
  <si>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</si>
  <si>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</si>
  <si>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</si>
  <si>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</si>
  <si>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</si>
  <si>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</si>
  <si>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</si>
  <si>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</si>
  <si>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</si>
  <si>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</si>
  <si>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</si>
  <si>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</si>
  <si>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</si>
  <si>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</si>
  <si>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</si>
  <si>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</si>
  <si>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</si>
  <si>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</si>
  <si>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</si>
  <si>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jumlahPendudukProv2025</t>
  </si>
  <si>
    <t>jumlahUmatProv</t>
  </si>
  <si>
    <t>Kep Seribu</t>
  </si>
  <si>
    <t>Jakarta Selatan</t>
  </si>
  <si>
    <t>Jakarta Timur</t>
  </si>
  <si>
    <t>Jakarta Pusat</t>
  </si>
  <si>
    <t>Jakarta Barat</t>
  </si>
  <si>
    <t>Jakarta Utara</t>
  </si>
  <si>
    <t>Banjar</t>
  </si>
  <si>
    <t>Tempek</t>
  </si>
  <si>
    <t>Tanah Abang</t>
  </si>
  <si>
    <t>Pura Agung Wira Satya Buana</t>
  </si>
  <si>
    <t>Purnama Sasih Kesanga</t>
  </si>
  <si>
    <t>Komplek Paspampres Cideng, Jl. Kesehatan, RW.5, Petojo Sel., Kecamatan Gambir, Kota Jakarta Pusat, Daerah Khusus Ibukota Jakarta 10160</t>
  </si>
  <si>
    <t>https://maps.app.goo.gl/d8hNcpRRjaa1FSq2A</t>
  </si>
  <si>
    <t>Kemayoran</t>
  </si>
  <si>
    <t>Kuil Dewi Mandir</t>
  </si>
  <si>
    <t>Jl. Angkasa Dalam I No. 29, Gunung Sahari Selatan, Kec. Kemayoran, Jakarta Pusat. [1, 2]</t>
  </si>
  <si>
    <t>Publik</t>
  </si>
  <si>
    <t>https://maps.app.goo.gl/26wA3xGYR38oKVpo9</t>
  </si>
  <si>
    <t>Menteng</t>
  </si>
  <si>
    <t>Kuil Mangla Vinayaka Ganesha</t>
  </si>
  <si>
    <t>Jl. Cikini IV No. 16, Cikini, Kec. Menteng, Jakarta Pusat.</t>
  </si>
  <si>
    <t>https://maps.app.goo.gl/t8A8K5psvPdvCCbS7</t>
  </si>
  <si>
    <t>Sawah Besar</t>
  </si>
  <si>
    <t>ISKCON Centre</t>
  </si>
  <si>
    <t>Jl. Kelinci Raya No. 2F, Pasar Baru, Kec. Sawah Besar, Jakarta Pusat</t>
  </si>
  <si>
    <t>https://maps.app.goo.gl/VPrpAtpVMCQStkVdA</t>
  </si>
  <si>
    <t>Pulo Gadung</t>
  </si>
  <si>
    <t>Pura Adhitya Jaya</t>
  </si>
  <si>
    <t>Sabtu Umanis Watugunung (Saraswati)</t>
  </si>
  <si>
    <t>Jl. Daksinapati Raya No. 10, Rawamangun, Jakarta Timur</t>
  </si>
  <si>
    <t>https://maps.app.goo.gl/Zfe3PNKo7AyLc9ZW7</t>
  </si>
  <si>
    <t>Cipayung</t>
  </si>
  <si>
    <t>Pura Penataran Agung Kertha Bumi</t>
  </si>
  <si>
    <t>Purnama Sasih Kapat</t>
  </si>
  <si>
    <t>Kawasan Taman Mini Indonesia Indah (TMII), Jalan Raya Taman Mini, RW 02, Kelurahan Ceger, Kecamatan Cipayung, Kota Jakarta Timur, Daerah Khusus Ibukota Jakarta</t>
  </si>
  <si>
    <t>https://maps.app.goo.gl/792yoABJRHk8DSDo9</t>
  </si>
  <si>
    <t>Cijantung</t>
  </si>
  <si>
    <t>Pura Mustika Dharma</t>
  </si>
  <si>
    <t>Buda Kliwon Dungulan (Galungan)</t>
  </si>
  <si>
    <t>Komplek Kopassus Cijantung, Jakarta Timur</t>
  </si>
  <si>
    <t>https://maps.app.goo.gl/VzEUs3UYxbJxEmk2A</t>
  </si>
  <si>
    <t>Cibubur</t>
  </si>
  <si>
    <t>Pura Widya Dharma</t>
  </si>
  <si>
    <t>Purnama Sasih Ketiga</t>
  </si>
  <si>
    <t>Bumi Perkemahan Pramuka Cibubur, Jakarta Timur</t>
  </si>
  <si>
    <t>https://maps.app.goo.gl/w1oj7Zd84GLDwoBa8</t>
  </si>
  <si>
    <t>Makasar</t>
  </si>
  <si>
    <t>Pura Agung Taman Sari</t>
  </si>
  <si>
    <t>Purnama Sasih Jiesta</t>
  </si>
  <si>
    <t>Komplek AURI Halim Perdana Kusuma, Jl. Pura Agung Taman Sari No.1, RT.01/RW.13, Kelurahan Halim Perdanakusuma, Kecamatan Makasar, Kota Jakarta Timur, Daerah Khusus Ibukota Jakarta 13610</t>
  </si>
  <si>
    <t>https://maps.app.goo.gl/82KjX16RujKUZrUWA</t>
  </si>
  <si>
    <t>Cilincing</t>
  </si>
  <si>
    <t>Pura Dalem Purnajati Tanjung Puri</t>
  </si>
  <si>
    <t>Tumpek Kuningan</t>
  </si>
  <si>
    <t>Jl. Raya Cilincing No.Kel, RT.15/RW.16, Semper Bar., Kec. Cilincing, Jkt Utara, Daerah Khusus Ibukota Jakarta 14130</t>
  </si>
  <si>
    <t>https://maps.app.goo.gl/q3zsjAFRvPjkpwp8A</t>
  </si>
  <si>
    <t>Penjaringan</t>
  </si>
  <si>
    <t>Kuil Shiva Mandir</t>
  </si>
  <si>
    <t>Jl. Pluit Barat Raya No. 46, Penjaringan, Muarakarang, Jakarta – Utara.</t>
  </si>
  <si>
    <t>https://maps.app.goo.gl/oFgx6gjbSJYFAs8L6</t>
  </si>
  <si>
    <t>Pura Segara Jakarta Raya</t>
  </si>
  <si>
    <t>Purnamaning Kenem</t>
  </si>
  <si>
    <t>Jl. Kremasi 28 Kali Baru Timur 29 RT.002 , Kali Baru, Cilincing, RT.7/RW.4, Kali Baru, Jakarta Utara, Jkt Utara, Daerah Khusus Ibukota Jakarta 14110</t>
  </si>
  <si>
    <t>https://maps.app.goo.gl/ngnh3817edCDjc8z5</t>
  </si>
  <si>
    <t>Kalideres</t>
  </si>
  <si>
    <t>Kuil Murugan</t>
  </si>
  <si>
    <t>Jl. Bedugul Jl. Daan Mogot No.2, RT.6/RW.17, Kalideres, Kec. Kalideres, Kota Jakarta Barat, Daerah Khusus Ibukota Jakarta 11840</t>
  </si>
  <si>
    <t>https://maps.app.goo.gl/kdn3zLHavfsChTbcA</t>
  </si>
  <si>
    <t>Jelambar</t>
  </si>
  <si>
    <t>Pura Candra Praba</t>
  </si>
  <si>
    <t>Purnama Sasih Kedasa</t>
  </si>
  <si>
    <t>Jl. Indraloka Raya No.1 8, RT.7/RW.10, Jelambar, Kec. Grogol petamburan, Kota Jakarta Barat, Daerah Khusus Ibukota Jakarta 11460</t>
  </si>
  <si>
    <t>https://maps.app.goo.gl/yLHeXbygdqGvvaR68</t>
  </si>
  <si>
    <t>Pasar Minggu</t>
  </si>
  <si>
    <t>Pura Kesatrya Loka</t>
  </si>
  <si>
    <t>Purnama Sasih Kepitu</t>
  </si>
  <si>
    <t>No., Jl. Kalibata Tengah I No.13, RT.17/RW.4, Kalibata, Kec. Pancoran, Kota Jakarta Selatan, Daerah Khusus Ibukota Jakarta 12740</t>
  </si>
  <si>
    <t>https://maps.app.goo.gl/tSkkfdLBCpHUiLXk6</t>
  </si>
  <si>
    <t>Kebayoran Lama</t>
  </si>
  <si>
    <t>Pura Kesatria Dharma</t>
  </si>
  <si>
    <t>Tumpek Landep</t>
  </si>
  <si>
    <t>Mabes Lemdikat, Pd. Pinang, Kec. Kebayoran Lama, Kota Jakarta Selatan, Daerah Khusus Ibukota Jakarta 12310</t>
  </si>
  <si>
    <t>https://maps.app.goo.gl/WyrZ4NFR8pT9hipCA</t>
  </si>
  <si>
    <t>Jagakarsa</t>
  </si>
  <si>
    <t>Pura Agung Widya Mandala</t>
  </si>
  <si>
    <t>Tumpek Wayang</t>
  </si>
  <si>
    <t>Jl. Mangga No.18B, RT.1/RW.19, Srengseng Sawah, Kec. Jagakarsa, Kota Jakarta Selatan, Daerah Khusus Ibukota Jakarta 12630</t>
  </si>
  <si>
    <t>https://maps.app.goo.gl/3epybThTAbm55CtZ7</t>
  </si>
  <si>
    <t>Cilandak</t>
  </si>
  <si>
    <t>Pura Agung Wira Dharma Samudra</t>
  </si>
  <si>
    <t>Tumpek Wariga (Pengatag)</t>
  </si>
  <si>
    <t>Jl. Komp. Marinir Cilandak, RT.10/RW.5, Cilandak Tim., Ps. Minggu, Kota Jakarta Selatan, Daerah Khusus Ibukota Jakarta 12560</t>
  </si>
  <si>
    <t>https://maps.app.goo.gl/yuuKbacSP9fKrNXQ7</t>
  </si>
  <si>
    <t>link maps</t>
  </si>
  <si>
    <t>corak</t>
  </si>
  <si>
    <t>Lokal</t>
  </si>
  <si>
    <t>Pertahanan</t>
  </si>
  <si>
    <t>Perumahan</t>
  </si>
  <si>
    <t>Pendidikan</t>
  </si>
  <si>
    <t>Negara Tujuan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</si>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</sst>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_-;\-* #,##0.000000_-;_-* &quot;-&quot;??_-;_-@_-"/>
    <numFmt numFmtId="165" formatCode="0.00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2" fillId="0" borderId="0" xfId="2"/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w1oj7Zd84GLDwoBa8" TargetMode="External"/><Relationship Id="rId13" Type="http://schemas.openxmlformats.org/officeDocument/2006/relationships/hyperlink" Target="https://maps.app.goo.gl/kdn3zLHavfsChTbcA" TargetMode="External"/><Relationship Id="rId18" Type="http://schemas.openxmlformats.org/officeDocument/2006/relationships/hyperlink" Target="https://maps.app.goo.gl/yuuKbacSP9fKrNXQ7" TargetMode="External"/><Relationship Id="rId3" Type="http://schemas.openxmlformats.org/officeDocument/2006/relationships/hyperlink" Target="https://maps.app.goo.gl/t8A8K5psvPdvCCbS7" TargetMode="External"/><Relationship Id="rId7" Type="http://schemas.openxmlformats.org/officeDocument/2006/relationships/hyperlink" Target="https://maps.app.goo.gl/VzEUs3UYxbJxEmk2A" TargetMode="External"/><Relationship Id="rId12" Type="http://schemas.openxmlformats.org/officeDocument/2006/relationships/hyperlink" Target="https://maps.app.goo.gl/ngnh3817edCDjc8z5" TargetMode="External"/><Relationship Id="rId17" Type="http://schemas.openxmlformats.org/officeDocument/2006/relationships/hyperlink" Target="https://maps.app.goo.gl/3epybThTAbm55CtZ7" TargetMode="External"/><Relationship Id="rId2" Type="http://schemas.openxmlformats.org/officeDocument/2006/relationships/hyperlink" Target="https://maps.app.goo.gl/26wA3xGYR38oKVpo9" TargetMode="External"/><Relationship Id="rId16" Type="http://schemas.openxmlformats.org/officeDocument/2006/relationships/hyperlink" Target="https://maps.app.goo.gl/WyrZ4NFR8pT9hipCA" TargetMode="External"/><Relationship Id="rId1" Type="http://schemas.openxmlformats.org/officeDocument/2006/relationships/hyperlink" Target="https://maps.app.goo.gl/d8hNcpRRjaa1FSq2A" TargetMode="External"/><Relationship Id="rId6" Type="http://schemas.openxmlformats.org/officeDocument/2006/relationships/hyperlink" Target="https://maps.app.goo.gl/792yoABJRHk8DSDo9" TargetMode="External"/><Relationship Id="rId11" Type="http://schemas.openxmlformats.org/officeDocument/2006/relationships/hyperlink" Target="https://maps.app.goo.gl/oFgx6gjbSJYFAs8L6" TargetMode="External"/><Relationship Id="rId5" Type="http://schemas.openxmlformats.org/officeDocument/2006/relationships/hyperlink" Target="https://maps.app.goo.gl/Zfe3PNKo7AyLc9ZW7" TargetMode="External"/><Relationship Id="rId15" Type="http://schemas.openxmlformats.org/officeDocument/2006/relationships/hyperlink" Target="https://maps.app.goo.gl/tSkkfdLBCpHUiLXk6" TargetMode="External"/><Relationship Id="rId10" Type="http://schemas.openxmlformats.org/officeDocument/2006/relationships/hyperlink" Target="https://maps.app.goo.gl/q3zsjAFRvPjkpwp8A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maps.app.goo.gl/VPrpAtpVMCQStkVdA" TargetMode="External"/><Relationship Id="rId9" Type="http://schemas.openxmlformats.org/officeDocument/2006/relationships/hyperlink" Target="https://maps.app.goo.gl/82KjX16RujKUZrUWA" TargetMode="External"/><Relationship Id="rId14" Type="http://schemas.openxmlformats.org/officeDocument/2006/relationships/hyperlink" Target="https://maps.app.goo.gl/yLHeXbygdqGvvaR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1583-D2AC-4A4A-BB6C-DF700D199300}">
  <dimension ref="A1:E401"/>
  <sheetViews>
    <sheetView zoomScale="105" workbookViewId="0">
      <selection activeCell="D8" sqref="D8"/>
    </sheetView>
  </sheetViews>
  <sheetFormatPr defaultRowHeight="14.5" x14ac:dyDescent="0.35"/>
  <cols>
    <col min="1" max="1" width="9.81640625" bestFit="1" customWidth="1"/>
    <col min="2" max="2" width="27.81640625" style="1" bestFit="1" customWidth="1"/>
    <col min="3" max="3" width="5.7265625" style="1" bestFit="1" customWidth="1"/>
    <col min="4" max="4" width="32.36328125" style="5" bestFit="1" customWidth="1"/>
    <col min="5" max="5" width="28" style="6" bestFit="1" customWidth="1"/>
  </cols>
  <sheetData>
    <row r="1" spans="1:5" x14ac:dyDescent="0.35">
      <c r="A1" t="s">
        <v>14</v>
      </c>
      <c r="B1" t="s">
        <v>13</v>
      </c>
      <c r="C1" s="1" t="s">
        <v>264</v>
      </c>
      <c r="D1" s="5" t="s">
        <v>263</v>
      </c>
      <c r="E1" s="6" t="s">
        <v>265</v>
      </c>
    </row>
    <row r="2" spans="1:5" x14ac:dyDescent="0.35">
      <c r="A2" t="s">
        <v>145</v>
      </c>
      <c r="B2" s="1" t="s">
        <v>63</v>
      </c>
      <c r="C2" s="1">
        <v>2010</v>
      </c>
      <c r="D2" s="5">
        <v>3.5473999999999998E-4</v>
      </c>
      <c r="E2" s="6">
        <v>100</v>
      </c>
    </row>
    <row r="3" spans="1:5" x14ac:dyDescent="0.35">
      <c r="A3" t="s">
        <v>145</v>
      </c>
      <c r="B3" s="1" t="s">
        <v>63</v>
      </c>
      <c r="C3" s="1">
        <v>2020</v>
      </c>
      <c r="D3" s="5">
        <v>1.2829599999999999E-4</v>
      </c>
      <c r="E3" s="6">
        <v>50</v>
      </c>
    </row>
    <row r="4" spans="1:5" x14ac:dyDescent="0.35">
      <c r="A4" t="s">
        <v>145</v>
      </c>
      <c r="B4" s="1" t="s">
        <v>64</v>
      </c>
      <c r="C4" s="1">
        <v>2010</v>
      </c>
      <c r="D4" s="5">
        <v>0</v>
      </c>
      <c r="E4" s="6">
        <v>0</v>
      </c>
    </row>
    <row r="5" spans="1:5" x14ac:dyDescent="0.35">
      <c r="A5" t="s">
        <v>145</v>
      </c>
      <c r="B5" s="1" t="s">
        <v>64</v>
      </c>
      <c r="C5" s="1">
        <v>2020</v>
      </c>
      <c r="D5" s="5">
        <v>7.0793500000000003E-4</v>
      </c>
      <c r="E5" s="6">
        <v>20</v>
      </c>
    </row>
    <row r="6" spans="1:5" x14ac:dyDescent="0.35">
      <c r="A6" t="s">
        <v>145</v>
      </c>
      <c r="B6" s="1" t="s">
        <v>65</v>
      </c>
      <c r="C6" s="1">
        <v>2010</v>
      </c>
      <c r="D6" s="5">
        <v>0</v>
      </c>
      <c r="E6" s="6">
        <v>0</v>
      </c>
    </row>
    <row r="7" spans="1:5" x14ac:dyDescent="0.35">
      <c r="A7" t="s">
        <v>145</v>
      </c>
      <c r="B7" s="1" t="s">
        <v>65</v>
      </c>
      <c r="C7" s="1">
        <v>2020</v>
      </c>
      <c r="D7" s="5">
        <v>0</v>
      </c>
      <c r="E7" s="6">
        <v>0</v>
      </c>
    </row>
    <row r="8" spans="1:5" x14ac:dyDescent="0.35">
      <c r="A8" t="s">
        <v>145</v>
      </c>
      <c r="B8" s="1" t="s">
        <v>66</v>
      </c>
      <c r="C8" s="1">
        <v>2010</v>
      </c>
      <c r="D8" s="5">
        <v>1.3696175999999999E-2</v>
      </c>
      <c r="E8" s="6">
        <v>3191</v>
      </c>
    </row>
    <row r="9" spans="1:5" x14ac:dyDescent="0.35">
      <c r="A9" t="s">
        <v>145</v>
      </c>
      <c r="B9" s="1" t="s">
        <v>66</v>
      </c>
      <c r="C9" s="1">
        <v>2020</v>
      </c>
      <c r="D9" s="5">
        <v>9.2735279999999996E-3</v>
      </c>
      <c r="E9" s="6">
        <v>3102</v>
      </c>
    </row>
    <row r="10" spans="1:5" x14ac:dyDescent="0.35">
      <c r="A10" t="s">
        <v>145</v>
      </c>
      <c r="B10" s="1" t="s">
        <v>67</v>
      </c>
      <c r="C10" s="1">
        <v>2010</v>
      </c>
      <c r="D10" s="5">
        <v>2.4817440000000001E-3</v>
      </c>
      <c r="E10" s="6">
        <v>1025</v>
      </c>
    </row>
    <row r="11" spans="1:5" x14ac:dyDescent="0.35">
      <c r="A11" t="s">
        <v>145</v>
      </c>
      <c r="B11" s="1" t="s">
        <v>67</v>
      </c>
      <c r="C11" s="1">
        <v>2020</v>
      </c>
      <c r="D11" s="5">
        <v>2.573854E-3</v>
      </c>
      <c r="E11" s="6">
        <v>1163</v>
      </c>
    </row>
    <row r="12" spans="1:5" x14ac:dyDescent="0.35">
      <c r="A12" t="s">
        <v>145</v>
      </c>
      <c r="B12" s="1" t="s">
        <v>68</v>
      </c>
      <c r="C12" s="1">
        <v>2010</v>
      </c>
      <c r="D12" s="5">
        <v>4.7517339999999996E-3</v>
      </c>
      <c r="E12" s="6">
        <v>139</v>
      </c>
    </row>
    <row r="13" spans="1:5" x14ac:dyDescent="0.35">
      <c r="A13" t="s">
        <v>145</v>
      </c>
      <c r="B13" s="1" t="s">
        <v>68</v>
      </c>
      <c r="C13" s="1">
        <v>2020</v>
      </c>
      <c r="D13" s="5">
        <v>7.4850070000000001E-3</v>
      </c>
      <c r="E13" s="6">
        <v>216</v>
      </c>
    </row>
    <row r="14" spans="1:5" x14ac:dyDescent="0.35">
      <c r="A14" t="s">
        <v>145</v>
      </c>
      <c r="B14" s="1" t="s">
        <v>69</v>
      </c>
      <c r="C14" s="1">
        <v>2010</v>
      </c>
      <c r="D14" s="5">
        <v>0.24914916000000001</v>
      </c>
      <c r="E14" s="6">
        <v>249</v>
      </c>
    </row>
    <row r="15" spans="1:5" x14ac:dyDescent="0.35">
      <c r="A15" t="s">
        <v>145</v>
      </c>
      <c r="B15" s="1" t="s">
        <v>69</v>
      </c>
      <c r="C15" s="1">
        <v>2020</v>
      </c>
      <c r="D15" s="5">
        <v>0.28146680000000002</v>
      </c>
      <c r="E15" s="6">
        <v>302</v>
      </c>
    </row>
    <row r="16" spans="1:5" x14ac:dyDescent="0.35">
      <c r="A16" t="s">
        <v>145</v>
      </c>
      <c r="B16" s="1" t="s">
        <v>70</v>
      </c>
      <c r="C16" s="1">
        <v>2010</v>
      </c>
      <c r="D16" s="5">
        <v>1.4443375000000001</v>
      </c>
      <c r="E16" s="6">
        <v>319799</v>
      </c>
    </row>
    <row r="17" spans="1:5" x14ac:dyDescent="0.35">
      <c r="A17" t="s">
        <v>145</v>
      </c>
      <c r="B17" s="1" t="s">
        <v>70</v>
      </c>
      <c r="C17" s="1">
        <v>2020</v>
      </c>
      <c r="D17" s="5">
        <v>2.9634230000000001</v>
      </c>
      <c r="E17" s="6">
        <v>762897</v>
      </c>
    </row>
    <row r="18" spans="1:5" x14ac:dyDescent="0.35">
      <c r="A18" t="s">
        <v>145</v>
      </c>
      <c r="B18" s="1" t="s">
        <v>71</v>
      </c>
      <c r="C18" s="1">
        <v>2010</v>
      </c>
      <c r="D18" s="5">
        <v>8.7822533999999994E-2</v>
      </c>
      <c r="E18" s="6">
        <v>7346</v>
      </c>
    </row>
    <row r="19" spans="1:5" x14ac:dyDescent="0.35">
      <c r="A19" t="s">
        <v>145</v>
      </c>
      <c r="B19" s="1" t="s">
        <v>71</v>
      </c>
      <c r="C19" s="1">
        <v>2020</v>
      </c>
      <c r="D19" s="5">
        <v>0.11324697</v>
      </c>
      <c r="E19" s="6">
        <v>10103</v>
      </c>
    </row>
    <row r="20" spans="1:5" x14ac:dyDescent="0.35">
      <c r="A20" t="s">
        <v>145</v>
      </c>
      <c r="B20" s="1" t="s">
        <v>72</v>
      </c>
      <c r="C20" s="1">
        <v>2010</v>
      </c>
      <c r="D20" s="5">
        <v>8.3358579999999998E-3</v>
      </c>
      <c r="E20" s="6">
        <v>762</v>
      </c>
    </row>
    <row r="21" spans="1:5" x14ac:dyDescent="0.35">
      <c r="A21" t="s">
        <v>145</v>
      </c>
      <c r="B21" s="1" t="s">
        <v>72</v>
      </c>
      <c r="C21" s="1">
        <v>2020</v>
      </c>
      <c r="D21" s="5">
        <v>6.8060610000000004E-3</v>
      </c>
      <c r="E21" s="6">
        <v>693</v>
      </c>
    </row>
    <row r="22" spans="1:5" x14ac:dyDescent="0.35">
      <c r="A22" t="s">
        <v>145</v>
      </c>
      <c r="B22" s="1" t="s">
        <v>73</v>
      </c>
      <c r="C22" s="1">
        <v>2010</v>
      </c>
      <c r="D22" s="5">
        <v>0.12499024</v>
      </c>
      <c r="E22" s="6">
        <v>459</v>
      </c>
    </row>
    <row r="23" spans="1:5" x14ac:dyDescent="0.35">
      <c r="A23" t="s">
        <v>145</v>
      </c>
      <c r="B23" s="1" t="s">
        <v>73</v>
      </c>
      <c r="C23" s="1">
        <v>2020</v>
      </c>
      <c r="D23" s="5">
        <v>0.12642616000000001</v>
      </c>
      <c r="E23" s="6">
        <v>500</v>
      </c>
    </row>
    <row r="24" spans="1:5" x14ac:dyDescent="0.35">
      <c r="A24" t="s">
        <v>145</v>
      </c>
      <c r="B24" s="1" t="s">
        <v>74</v>
      </c>
      <c r="C24" s="1">
        <v>2010</v>
      </c>
      <c r="D24" s="5">
        <v>12.881372000000001</v>
      </c>
      <c r="E24" s="6">
        <v>156282</v>
      </c>
    </row>
    <row r="25" spans="1:5" x14ac:dyDescent="0.35">
      <c r="A25" t="s">
        <v>145</v>
      </c>
      <c r="B25" s="1" t="s">
        <v>74</v>
      </c>
      <c r="C25" s="1">
        <v>2020</v>
      </c>
      <c r="D25" s="5">
        <v>11.205845</v>
      </c>
      <c r="E25" s="6">
        <v>166191</v>
      </c>
    </row>
    <row r="26" spans="1:5" x14ac:dyDescent="0.35">
      <c r="A26" t="s">
        <v>145</v>
      </c>
      <c r="B26" s="1" t="s">
        <v>75</v>
      </c>
      <c r="C26" s="1">
        <v>2010</v>
      </c>
      <c r="D26" s="5">
        <v>8.5614360000000005</v>
      </c>
      <c r="E26" s="6">
        <v>13030675</v>
      </c>
    </row>
    <row r="27" spans="1:5" x14ac:dyDescent="0.35">
      <c r="A27" t="s">
        <v>145</v>
      </c>
      <c r="B27" s="1" t="s">
        <v>75</v>
      </c>
      <c r="C27" s="1">
        <v>2020</v>
      </c>
      <c r="D27" s="5">
        <v>7.9023709999999996</v>
      </c>
      <c r="E27" s="6">
        <v>13141486</v>
      </c>
    </row>
    <row r="28" spans="1:5" x14ac:dyDescent="0.35">
      <c r="A28" t="s">
        <v>145</v>
      </c>
      <c r="B28" s="1" t="s">
        <v>76</v>
      </c>
      <c r="C28" s="1">
        <v>2010</v>
      </c>
      <c r="D28" s="5">
        <v>0.47174129999999997</v>
      </c>
      <c r="E28" s="6">
        <v>1298</v>
      </c>
    </row>
    <row r="29" spans="1:5" x14ac:dyDescent="0.35">
      <c r="A29" t="s">
        <v>145</v>
      </c>
      <c r="B29" s="1" t="s">
        <v>76</v>
      </c>
      <c r="C29" s="1">
        <v>2020</v>
      </c>
      <c r="D29" s="5">
        <v>0.46223992000000003</v>
      </c>
      <c r="E29" s="6">
        <v>1302</v>
      </c>
    </row>
    <row r="30" spans="1:5" x14ac:dyDescent="0.35">
      <c r="A30" t="s">
        <v>145</v>
      </c>
      <c r="B30" s="1" t="s">
        <v>77</v>
      </c>
      <c r="C30" s="1">
        <v>2010</v>
      </c>
      <c r="D30" s="5">
        <v>5.5695839999999998E-3</v>
      </c>
      <c r="E30" s="6">
        <v>529</v>
      </c>
    </row>
    <row r="31" spans="1:5" x14ac:dyDescent="0.35">
      <c r="A31" t="s">
        <v>145</v>
      </c>
      <c r="B31" s="1" t="s">
        <v>77</v>
      </c>
      <c r="C31" s="1">
        <v>2020</v>
      </c>
      <c r="D31" s="5">
        <v>5.5741590000000004E-3</v>
      </c>
      <c r="E31" s="6">
        <v>521</v>
      </c>
    </row>
    <row r="32" spans="1:5" x14ac:dyDescent="0.35">
      <c r="A32" t="s">
        <v>145</v>
      </c>
      <c r="B32" s="1" t="s">
        <v>78</v>
      </c>
      <c r="C32" s="1">
        <v>2010</v>
      </c>
      <c r="D32" s="5">
        <v>0.118146814</v>
      </c>
      <c r="E32" s="6">
        <v>12921</v>
      </c>
    </row>
    <row r="33" spans="1:5" x14ac:dyDescent="0.35">
      <c r="A33" t="s">
        <v>145</v>
      </c>
      <c r="B33" s="1" t="s">
        <v>78</v>
      </c>
      <c r="C33" s="1">
        <v>2020</v>
      </c>
      <c r="D33" s="5">
        <v>0.23222195000000001</v>
      </c>
      <c r="E33" s="6">
        <v>26799</v>
      </c>
    </row>
    <row r="34" spans="1:5" x14ac:dyDescent="0.35">
      <c r="A34" t="s">
        <v>145</v>
      </c>
      <c r="B34" s="1" t="s">
        <v>79</v>
      </c>
      <c r="C34" s="1">
        <v>2010</v>
      </c>
      <c r="D34" s="5">
        <v>0.20103467999999999</v>
      </c>
      <c r="E34" s="6">
        <v>644</v>
      </c>
    </row>
    <row r="35" spans="1:5" x14ac:dyDescent="0.35">
      <c r="A35" t="s">
        <v>145</v>
      </c>
      <c r="B35" s="1" t="s">
        <v>79</v>
      </c>
      <c r="C35" s="1">
        <v>2020</v>
      </c>
      <c r="D35" s="5">
        <v>0.19547845</v>
      </c>
      <c r="E35" s="6">
        <v>764</v>
      </c>
    </row>
    <row r="36" spans="1:5" x14ac:dyDescent="0.35">
      <c r="A36" t="s">
        <v>145</v>
      </c>
      <c r="B36" s="1" t="s">
        <v>80</v>
      </c>
      <c r="C36" s="1">
        <v>2010</v>
      </c>
      <c r="D36" s="5">
        <v>9.4222669999999998E-3</v>
      </c>
      <c r="E36" s="6">
        <v>923</v>
      </c>
    </row>
    <row r="37" spans="1:5" x14ac:dyDescent="0.35">
      <c r="A37" t="s">
        <v>145</v>
      </c>
      <c r="B37" s="1" t="s">
        <v>80</v>
      </c>
      <c r="C37" s="1">
        <v>2020</v>
      </c>
      <c r="D37" s="5">
        <v>8.297001E-3</v>
      </c>
      <c r="E37" s="6">
        <v>1084</v>
      </c>
    </row>
    <row r="38" spans="1:5" x14ac:dyDescent="0.35">
      <c r="A38" t="s">
        <v>145</v>
      </c>
      <c r="B38" s="1" t="s">
        <v>81</v>
      </c>
      <c r="C38" s="1">
        <v>2010</v>
      </c>
      <c r="D38" s="5">
        <v>22.553225000000001</v>
      </c>
      <c r="E38" s="6">
        <v>158241</v>
      </c>
    </row>
    <row r="39" spans="1:5" x14ac:dyDescent="0.35">
      <c r="A39" t="s">
        <v>145</v>
      </c>
      <c r="B39" s="1" t="s">
        <v>81</v>
      </c>
      <c r="C39" s="1">
        <v>2020</v>
      </c>
      <c r="D39" s="5">
        <v>22.505880000000001</v>
      </c>
      <c r="E39" s="6">
        <v>173297</v>
      </c>
    </row>
    <row r="40" spans="1:5" x14ac:dyDescent="0.35">
      <c r="A40" t="s">
        <v>145</v>
      </c>
      <c r="B40" s="1" t="s">
        <v>82</v>
      </c>
      <c r="C40" s="1">
        <v>2010</v>
      </c>
      <c r="D40" s="5">
        <v>3.3257460000000001E-3</v>
      </c>
      <c r="E40" s="6">
        <v>339</v>
      </c>
    </row>
    <row r="41" spans="1:5" x14ac:dyDescent="0.35">
      <c r="A41" t="s">
        <v>145</v>
      </c>
      <c r="B41" s="1" t="s">
        <v>82</v>
      </c>
      <c r="C41" s="1">
        <v>2020</v>
      </c>
      <c r="D41" s="5">
        <v>3.686277E-3</v>
      </c>
      <c r="E41" s="6">
        <v>436</v>
      </c>
    </row>
    <row r="42" spans="1:5" x14ac:dyDescent="0.35">
      <c r="A42" t="s">
        <v>145</v>
      </c>
      <c r="B42" s="1" t="s">
        <v>83</v>
      </c>
      <c r="C42" s="1">
        <v>2010</v>
      </c>
      <c r="D42" s="5">
        <v>0</v>
      </c>
      <c r="E42" s="6">
        <v>0</v>
      </c>
    </row>
    <row r="43" spans="1:5" x14ac:dyDescent="0.35">
      <c r="A43" t="s">
        <v>145</v>
      </c>
      <c r="B43" s="1" t="s">
        <v>83</v>
      </c>
      <c r="C43" s="1">
        <v>2020</v>
      </c>
      <c r="D43" s="5">
        <v>0</v>
      </c>
      <c r="E43" s="6">
        <v>0</v>
      </c>
    </row>
    <row r="44" spans="1:5" x14ac:dyDescent="0.35">
      <c r="A44" t="s">
        <v>145</v>
      </c>
      <c r="B44" s="1" t="s">
        <v>84</v>
      </c>
      <c r="C44" s="1">
        <v>2010</v>
      </c>
      <c r="D44" s="5">
        <v>0.14342645000000001</v>
      </c>
      <c r="E44" s="6">
        <v>2916</v>
      </c>
    </row>
    <row r="45" spans="1:5" x14ac:dyDescent="0.35">
      <c r="A45" t="s">
        <v>145</v>
      </c>
      <c r="B45" s="1" t="s">
        <v>84</v>
      </c>
      <c r="C45" s="1">
        <v>2020</v>
      </c>
      <c r="D45" s="5">
        <v>0.13744882999999999</v>
      </c>
      <c r="E45" s="6">
        <v>3252</v>
      </c>
    </row>
    <row r="46" spans="1:5" x14ac:dyDescent="0.35">
      <c r="A46" t="s">
        <v>145</v>
      </c>
      <c r="B46" s="1" t="s">
        <v>85</v>
      </c>
      <c r="C46" s="1">
        <v>2010</v>
      </c>
      <c r="D46" s="5">
        <v>2.9942509999999999E-3</v>
      </c>
      <c r="E46" s="6">
        <v>5800</v>
      </c>
    </row>
    <row r="47" spans="1:5" x14ac:dyDescent="0.35">
      <c r="A47" t="s">
        <v>145</v>
      </c>
      <c r="B47" s="1" t="s">
        <v>85</v>
      </c>
      <c r="C47" s="1">
        <v>2020</v>
      </c>
      <c r="D47" s="5">
        <v>7.7041700000000002E-4</v>
      </c>
      <c r="E47" s="6">
        <v>1608</v>
      </c>
    </row>
    <row r="48" spans="1:5" x14ac:dyDescent="0.35">
      <c r="A48" t="s">
        <v>145</v>
      </c>
      <c r="B48" s="1" t="s">
        <v>86</v>
      </c>
      <c r="C48" s="1">
        <v>2010</v>
      </c>
      <c r="D48" s="5">
        <v>1.3407313999999999</v>
      </c>
      <c r="E48" s="6">
        <v>5260</v>
      </c>
    </row>
    <row r="49" spans="1:5" x14ac:dyDescent="0.35">
      <c r="A49" t="s">
        <v>145</v>
      </c>
      <c r="B49" s="1" t="s">
        <v>86</v>
      </c>
      <c r="C49" s="1">
        <v>2020</v>
      </c>
      <c r="D49" s="5">
        <v>1.3356726000000001</v>
      </c>
      <c r="E49" s="6">
        <v>5976</v>
      </c>
    </row>
    <row r="50" spans="1:5" x14ac:dyDescent="0.35">
      <c r="A50" t="s">
        <v>145</v>
      </c>
      <c r="B50" s="1" t="s">
        <v>87</v>
      </c>
      <c r="C50" s="1">
        <v>2010</v>
      </c>
      <c r="D50" s="5">
        <v>1.411629E-3</v>
      </c>
      <c r="E50" s="6">
        <v>105</v>
      </c>
    </row>
    <row r="51" spans="1:5" x14ac:dyDescent="0.35">
      <c r="A51" t="s">
        <v>145</v>
      </c>
      <c r="B51" s="1" t="s">
        <v>87</v>
      </c>
      <c r="C51" s="1">
        <v>2020</v>
      </c>
      <c r="D51" s="5">
        <v>2.9070860000000001E-3</v>
      </c>
      <c r="E51" s="6">
        <v>202</v>
      </c>
    </row>
    <row r="52" spans="1:5" x14ac:dyDescent="0.35">
      <c r="A52" t="s">
        <v>145</v>
      </c>
      <c r="B52" s="1" t="s">
        <v>88</v>
      </c>
      <c r="C52" s="1">
        <v>2010</v>
      </c>
      <c r="D52" s="5">
        <v>7.4456299999999995E-4</v>
      </c>
      <c r="E52" s="6">
        <v>120</v>
      </c>
    </row>
    <row r="53" spans="1:5" x14ac:dyDescent="0.35">
      <c r="A53" t="s">
        <v>145</v>
      </c>
      <c r="B53" s="1" t="s">
        <v>88</v>
      </c>
      <c r="C53" s="1">
        <v>2020</v>
      </c>
      <c r="D53" s="5">
        <v>6.0401499999999996E-4</v>
      </c>
      <c r="E53" s="6">
        <v>130</v>
      </c>
    </row>
    <row r="54" spans="1:5" x14ac:dyDescent="0.35">
      <c r="A54" t="s">
        <v>145</v>
      </c>
      <c r="B54" s="1" t="s">
        <v>89</v>
      </c>
      <c r="C54" s="1">
        <v>2010</v>
      </c>
      <c r="D54" s="5">
        <v>7.0443930000000004E-3</v>
      </c>
      <c r="E54" s="6">
        <v>661</v>
      </c>
    </row>
    <row r="55" spans="1:5" x14ac:dyDescent="0.35">
      <c r="A55" t="s">
        <v>145</v>
      </c>
      <c r="B55" s="1" t="s">
        <v>89</v>
      </c>
      <c r="C55" s="1">
        <v>2020</v>
      </c>
      <c r="D55" s="5">
        <v>7.4676020000000003E-3</v>
      </c>
      <c r="E55" s="6">
        <v>942</v>
      </c>
    </row>
    <row r="56" spans="1:5" x14ac:dyDescent="0.35">
      <c r="A56" t="s">
        <v>145</v>
      </c>
      <c r="B56" s="1" t="s">
        <v>90</v>
      </c>
      <c r="C56" s="1">
        <v>2010</v>
      </c>
      <c r="D56" s="5">
        <v>9.0507000000000001E-4</v>
      </c>
      <c r="E56" s="6">
        <v>131</v>
      </c>
    </row>
    <row r="57" spans="1:5" x14ac:dyDescent="0.35">
      <c r="A57" t="s">
        <v>145</v>
      </c>
      <c r="B57" s="1" t="s">
        <v>90</v>
      </c>
      <c r="C57" s="1">
        <v>2020</v>
      </c>
      <c r="D57" s="5">
        <v>7.9283499999999998E-4</v>
      </c>
      <c r="E57" s="6">
        <v>133</v>
      </c>
    </row>
    <row r="58" spans="1:5" x14ac:dyDescent="0.35">
      <c r="A58" t="s">
        <v>145</v>
      </c>
      <c r="B58" s="1" t="s">
        <v>91</v>
      </c>
      <c r="C58" s="1">
        <v>2010</v>
      </c>
      <c r="D58" s="5">
        <v>6.3404580000000002E-3</v>
      </c>
      <c r="E58" s="6">
        <v>1247</v>
      </c>
    </row>
    <row r="59" spans="1:5" x14ac:dyDescent="0.35">
      <c r="A59" t="s">
        <v>145</v>
      </c>
      <c r="B59" s="1" t="s">
        <v>91</v>
      </c>
      <c r="C59" s="1">
        <v>2020</v>
      </c>
      <c r="D59" s="5">
        <v>7.4303340000000002E-3</v>
      </c>
      <c r="E59" s="6">
        <v>1948</v>
      </c>
    </row>
    <row r="60" spans="1:5" x14ac:dyDescent="0.35">
      <c r="A60" t="s">
        <v>145</v>
      </c>
      <c r="B60" s="1" t="s">
        <v>92</v>
      </c>
      <c r="C60" s="1">
        <v>2010</v>
      </c>
      <c r="D60" s="5">
        <v>1.5851321</v>
      </c>
      <c r="E60" s="6">
        <v>542066</v>
      </c>
    </row>
    <row r="61" spans="1:5" x14ac:dyDescent="0.35">
      <c r="A61" t="s">
        <v>145</v>
      </c>
      <c r="B61" s="1" t="s">
        <v>92</v>
      </c>
      <c r="C61" s="1">
        <v>2020</v>
      </c>
      <c r="D61" s="5">
        <v>1.5247571</v>
      </c>
      <c r="E61" s="6">
        <v>582029</v>
      </c>
    </row>
    <row r="62" spans="1:5" x14ac:dyDescent="0.35">
      <c r="A62" t="s">
        <v>145</v>
      </c>
      <c r="B62" s="1" t="s">
        <v>93</v>
      </c>
      <c r="C62" s="1">
        <v>2010</v>
      </c>
      <c r="D62" s="5">
        <v>1.5348829999999999E-3</v>
      </c>
      <c r="E62" s="6">
        <v>8</v>
      </c>
    </row>
    <row r="63" spans="1:5" x14ac:dyDescent="0.35">
      <c r="A63" t="s">
        <v>145</v>
      </c>
      <c r="B63" s="1" t="s">
        <v>93</v>
      </c>
      <c r="C63" s="1">
        <v>2020</v>
      </c>
      <c r="D63" s="5">
        <v>1.3730610000000001E-3</v>
      </c>
      <c r="E63" s="6">
        <v>7</v>
      </c>
    </row>
    <row r="64" spans="1:5" x14ac:dyDescent="0.35">
      <c r="A64" t="s">
        <v>145</v>
      </c>
      <c r="B64" s="1" t="s">
        <v>94</v>
      </c>
      <c r="C64" s="1">
        <v>2010</v>
      </c>
      <c r="D64" s="5">
        <v>1.072946E-3</v>
      </c>
      <c r="E64" s="6">
        <v>48</v>
      </c>
    </row>
    <row r="65" spans="1:5" x14ac:dyDescent="0.35">
      <c r="A65" t="s">
        <v>145</v>
      </c>
      <c r="B65" s="1" t="s">
        <v>94</v>
      </c>
      <c r="C65" s="1">
        <v>2020</v>
      </c>
      <c r="D65" s="5">
        <v>2.4330810000000001E-3</v>
      </c>
      <c r="E65" s="6">
        <v>122</v>
      </c>
    </row>
    <row r="66" spans="1:5" x14ac:dyDescent="0.35">
      <c r="A66" t="s">
        <v>145</v>
      </c>
      <c r="B66" s="1" t="s">
        <v>95</v>
      </c>
      <c r="C66" s="1">
        <v>2010</v>
      </c>
      <c r="D66" s="5">
        <v>1.1265496E-2</v>
      </c>
      <c r="E66" s="6">
        <v>1387</v>
      </c>
    </row>
    <row r="67" spans="1:5" x14ac:dyDescent="0.35">
      <c r="A67" t="s">
        <v>145</v>
      </c>
      <c r="B67" s="1" t="s">
        <v>95</v>
      </c>
      <c r="C67" s="1">
        <v>2020</v>
      </c>
      <c r="D67" s="5">
        <v>9.9971750000000005E-3</v>
      </c>
      <c r="E67" s="6">
        <v>1722</v>
      </c>
    </row>
    <row r="68" spans="1:5" x14ac:dyDescent="0.35">
      <c r="A68" t="s">
        <v>145</v>
      </c>
      <c r="B68" s="1" t="s">
        <v>96</v>
      </c>
      <c r="C68" s="1">
        <v>2010</v>
      </c>
      <c r="D68" s="5">
        <v>8.0060705999999995E-2</v>
      </c>
      <c r="E68" s="6">
        <v>127</v>
      </c>
    </row>
    <row r="69" spans="1:5" x14ac:dyDescent="0.35">
      <c r="A69" t="s">
        <v>145</v>
      </c>
      <c r="B69" s="1" t="s">
        <v>96</v>
      </c>
      <c r="C69" s="1">
        <v>2020</v>
      </c>
      <c r="D69" s="5">
        <v>8.1575030000000007E-2</v>
      </c>
      <c r="E69" s="6">
        <v>136</v>
      </c>
    </row>
    <row r="70" spans="1:5" x14ac:dyDescent="0.35">
      <c r="A70" t="s">
        <v>145</v>
      </c>
      <c r="B70" s="1" t="s">
        <v>97</v>
      </c>
      <c r="C70" s="1">
        <v>2010</v>
      </c>
      <c r="D70" s="5">
        <v>4.4106850000000001E-3</v>
      </c>
      <c r="E70" s="6">
        <v>758</v>
      </c>
    </row>
    <row r="71" spans="1:5" x14ac:dyDescent="0.35">
      <c r="A71" t="s">
        <v>145</v>
      </c>
      <c r="B71" s="1" t="s">
        <v>97</v>
      </c>
      <c r="C71" s="1">
        <v>2020</v>
      </c>
      <c r="D71" s="5">
        <v>5.3355069999999997E-3</v>
      </c>
      <c r="E71" s="6">
        <v>1034</v>
      </c>
    </row>
    <row r="72" spans="1:5" x14ac:dyDescent="0.35">
      <c r="A72" t="s">
        <v>145</v>
      </c>
      <c r="B72" s="1" t="s">
        <v>98</v>
      </c>
      <c r="C72" s="1">
        <v>2010</v>
      </c>
      <c r="D72" s="5">
        <v>1.6627129999999999E-3</v>
      </c>
      <c r="E72" s="6">
        <v>22473</v>
      </c>
    </row>
    <row r="73" spans="1:5" x14ac:dyDescent="0.35">
      <c r="A73" t="s">
        <v>145</v>
      </c>
      <c r="B73" s="1" t="s">
        <v>98</v>
      </c>
      <c r="C73" s="1">
        <v>2020</v>
      </c>
      <c r="D73" s="5">
        <v>2.0417899999999999E-3</v>
      </c>
      <c r="E73" s="6">
        <v>29118</v>
      </c>
    </row>
    <row r="74" spans="1:5" x14ac:dyDescent="0.35">
      <c r="A74" t="s">
        <v>145</v>
      </c>
      <c r="B74" s="1" t="s">
        <v>99</v>
      </c>
      <c r="C74" s="1">
        <v>2010</v>
      </c>
      <c r="D74" s="5">
        <v>9.1485000000000004E-4</v>
      </c>
      <c r="E74" s="6">
        <v>410</v>
      </c>
    </row>
    <row r="75" spans="1:5" x14ac:dyDescent="0.35">
      <c r="A75" t="s">
        <v>145</v>
      </c>
      <c r="B75" s="1" t="s">
        <v>99</v>
      </c>
      <c r="C75" s="1">
        <v>2020</v>
      </c>
      <c r="D75" s="5">
        <v>1.024615E-3</v>
      </c>
      <c r="E75" s="6">
        <v>519</v>
      </c>
    </row>
    <row r="76" spans="1:5" x14ac:dyDescent="0.35">
      <c r="A76" t="s">
        <v>145</v>
      </c>
      <c r="B76" s="1" t="s">
        <v>100</v>
      </c>
      <c r="C76" s="1">
        <v>2010</v>
      </c>
      <c r="D76" s="5">
        <v>7.6216700000000001E-4</v>
      </c>
      <c r="E76" s="6">
        <v>5</v>
      </c>
    </row>
    <row r="77" spans="1:5" x14ac:dyDescent="0.35">
      <c r="A77" t="s">
        <v>145</v>
      </c>
      <c r="B77" s="1" t="s">
        <v>100</v>
      </c>
      <c r="C77" s="1">
        <v>2020</v>
      </c>
      <c r="D77" s="5">
        <v>6.2021999999999999E-4</v>
      </c>
      <c r="E77" s="6">
        <v>5</v>
      </c>
    </row>
    <row r="78" spans="1:5" x14ac:dyDescent="0.35">
      <c r="A78" t="s">
        <v>145</v>
      </c>
      <c r="B78" s="1" t="s">
        <v>101</v>
      </c>
      <c r="C78" s="1">
        <v>2010</v>
      </c>
      <c r="D78" s="5">
        <v>3.1546569999999999E-3</v>
      </c>
      <c r="E78" s="6">
        <v>141</v>
      </c>
    </row>
    <row r="79" spans="1:5" x14ac:dyDescent="0.35">
      <c r="A79" t="s">
        <v>145</v>
      </c>
      <c r="B79" s="1" t="s">
        <v>101</v>
      </c>
      <c r="C79" s="1">
        <v>2020</v>
      </c>
      <c r="D79" s="5">
        <v>3.5074339999999998E-3</v>
      </c>
      <c r="E79" s="6">
        <v>202</v>
      </c>
    </row>
    <row r="80" spans="1:5" x14ac:dyDescent="0.35">
      <c r="A80" t="s">
        <v>145</v>
      </c>
      <c r="B80" s="1" t="s">
        <v>102</v>
      </c>
      <c r="C80" s="1">
        <v>2010</v>
      </c>
      <c r="D80" s="5">
        <v>8.8701360000000007E-3</v>
      </c>
      <c r="E80" s="6">
        <v>404</v>
      </c>
    </row>
    <row r="81" spans="1:5" x14ac:dyDescent="0.35">
      <c r="A81" t="s">
        <v>145</v>
      </c>
      <c r="B81" s="1" t="s">
        <v>102</v>
      </c>
      <c r="C81" s="1">
        <v>2020</v>
      </c>
      <c r="D81" s="5">
        <v>9.3693179999999997E-3</v>
      </c>
      <c r="E81" s="6">
        <v>472</v>
      </c>
    </row>
    <row r="82" spans="1:5" x14ac:dyDescent="0.35">
      <c r="A82" t="s">
        <v>145</v>
      </c>
      <c r="B82" s="1" t="s">
        <v>103</v>
      </c>
      <c r="C82" s="1">
        <v>2010</v>
      </c>
      <c r="D82" s="5">
        <v>0</v>
      </c>
      <c r="E82" s="6">
        <v>0</v>
      </c>
    </row>
    <row r="83" spans="1:5" x14ac:dyDescent="0.35">
      <c r="A83" t="s">
        <v>145</v>
      </c>
      <c r="B83" s="1" t="s">
        <v>103</v>
      </c>
      <c r="C83" s="1">
        <v>2020</v>
      </c>
      <c r="D83" s="5">
        <v>0</v>
      </c>
      <c r="E83" s="6">
        <v>0</v>
      </c>
    </row>
    <row r="84" spans="1:5" x14ac:dyDescent="0.35">
      <c r="A84" t="s">
        <v>145</v>
      </c>
      <c r="B84" s="1" t="s">
        <v>104</v>
      </c>
      <c r="C84" s="1">
        <v>2010</v>
      </c>
      <c r="D84" s="5">
        <v>1.1464561999999999E-2</v>
      </c>
      <c r="E84" s="6">
        <v>493</v>
      </c>
    </row>
    <row r="85" spans="1:5" x14ac:dyDescent="0.35">
      <c r="A85" t="s">
        <v>145</v>
      </c>
      <c r="B85" s="1" t="s">
        <v>104</v>
      </c>
      <c r="C85" s="1">
        <v>2020</v>
      </c>
      <c r="D85" s="5">
        <v>1.1706879E-2</v>
      </c>
      <c r="E85" s="6">
        <v>463</v>
      </c>
    </row>
    <row r="86" spans="1:5" x14ac:dyDescent="0.35">
      <c r="A86" t="s">
        <v>145</v>
      </c>
      <c r="B86" s="1" t="s">
        <v>105</v>
      </c>
      <c r="C86" s="1">
        <v>2010</v>
      </c>
      <c r="D86" s="5">
        <v>0.209979</v>
      </c>
      <c r="E86" s="6">
        <v>23722</v>
      </c>
    </row>
    <row r="87" spans="1:5" x14ac:dyDescent="0.35">
      <c r="A87" t="s">
        <v>145</v>
      </c>
      <c r="B87" s="1" t="s">
        <v>105</v>
      </c>
      <c r="C87" s="1">
        <v>2020</v>
      </c>
      <c r="D87" s="5">
        <v>0.209979</v>
      </c>
      <c r="E87" s="6">
        <v>23468</v>
      </c>
    </row>
    <row r="88" spans="1:5" x14ac:dyDescent="0.35">
      <c r="A88" t="s">
        <v>145</v>
      </c>
      <c r="B88" s="1" t="s">
        <v>106</v>
      </c>
      <c r="C88" s="1">
        <v>2010</v>
      </c>
      <c r="D88" s="5">
        <v>1.9998115000000001</v>
      </c>
      <c r="E88" s="6">
        <v>3137</v>
      </c>
    </row>
    <row r="89" spans="1:5" x14ac:dyDescent="0.35">
      <c r="A89" t="s">
        <v>145</v>
      </c>
      <c r="B89" s="1" t="s">
        <v>106</v>
      </c>
      <c r="C89" s="1">
        <v>2020</v>
      </c>
      <c r="D89" s="5">
        <v>1.9868361000000001</v>
      </c>
      <c r="E89" s="6">
        <v>3676</v>
      </c>
    </row>
    <row r="90" spans="1:5" x14ac:dyDescent="0.35">
      <c r="A90" t="s">
        <v>145</v>
      </c>
      <c r="B90" s="1" t="s">
        <v>107</v>
      </c>
      <c r="C90" s="1">
        <v>2010</v>
      </c>
      <c r="D90" s="5">
        <v>0.28326467</v>
      </c>
      <c r="E90" s="6">
        <v>3195</v>
      </c>
    </row>
    <row r="91" spans="1:5" x14ac:dyDescent="0.35">
      <c r="A91" t="s">
        <v>145</v>
      </c>
      <c r="B91" s="1" t="s">
        <v>107</v>
      </c>
      <c r="C91" s="1">
        <v>2020</v>
      </c>
      <c r="D91" s="5">
        <v>0.26665870000000003</v>
      </c>
      <c r="E91" s="6">
        <v>3473</v>
      </c>
    </row>
    <row r="92" spans="1:5" x14ac:dyDescent="0.35">
      <c r="A92" t="s">
        <v>145</v>
      </c>
      <c r="B92" s="1" t="s">
        <v>108</v>
      </c>
      <c r="C92" s="1">
        <v>2010</v>
      </c>
      <c r="D92" s="5">
        <v>2.2761819999999999E-2</v>
      </c>
      <c r="E92" s="6">
        <v>2382</v>
      </c>
    </row>
    <row r="93" spans="1:5" x14ac:dyDescent="0.35">
      <c r="A93" t="s">
        <v>145</v>
      </c>
      <c r="B93" s="1" t="s">
        <v>108</v>
      </c>
      <c r="C93" s="1">
        <v>2020</v>
      </c>
      <c r="D93" s="5">
        <v>1.6849395E-2</v>
      </c>
      <c r="E93" s="6">
        <v>1778</v>
      </c>
    </row>
    <row r="94" spans="1:5" x14ac:dyDescent="0.35">
      <c r="A94" t="s">
        <v>145</v>
      </c>
      <c r="B94" s="1" t="s">
        <v>109</v>
      </c>
      <c r="C94" s="1">
        <v>2010</v>
      </c>
      <c r="D94" s="5">
        <v>1.5777569999999999E-3</v>
      </c>
      <c r="E94" s="6">
        <v>1082</v>
      </c>
    </row>
    <row r="95" spans="1:5" x14ac:dyDescent="0.35">
      <c r="A95" t="s">
        <v>145</v>
      </c>
      <c r="B95" s="1" t="s">
        <v>109</v>
      </c>
      <c r="C95" s="1">
        <v>2020</v>
      </c>
      <c r="D95" s="5">
        <v>1.197573E-3</v>
      </c>
      <c r="E95" s="6">
        <v>1150</v>
      </c>
    </row>
    <row r="96" spans="1:5" x14ac:dyDescent="0.35">
      <c r="A96" t="s">
        <v>145</v>
      </c>
      <c r="B96" s="1" t="s">
        <v>110</v>
      </c>
      <c r="C96" s="1">
        <v>2010</v>
      </c>
      <c r="D96" s="5">
        <v>0.30498924999999999</v>
      </c>
      <c r="E96" s="6">
        <v>16920</v>
      </c>
    </row>
    <row r="97" spans="1:5" x14ac:dyDescent="0.35">
      <c r="A97" t="s">
        <v>145</v>
      </c>
      <c r="B97" s="1" t="s">
        <v>110</v>
      </c>
      <c r="C97" s="1">
        <v>2020</v>
      </c>
      <c r="D97" s="5">
        <v>0.43512356000000002</v>
      </c>
      <c r="E97" s="6">
        <v>25374</v>
      </c>
    </row>
    <row r="98" spans="1:5" x14ac:dyDescent="0.35">
      <c r="A98" t="s">
        <v>145</v>
      </c>
      <c r="B98" s="1" t="s">
        <v>111</v>
      </c>
      <c r="C98" s="1">
        <v>2010</v>
      </c>
      <c r="D98" s="5">
        <v>4.0002665999999999E-2</v>
      </c>
      <c r="E98" s="6">
        <v>372</v>
      </c>
    </row>
    <row r="99" spans="1:5" x14ac:dyDescent="0.35">
      <c r="A99" t="s">
        <v>145</v>
      </c>
      <c r="B99" s="1" t="s">
        <v>111</v>
      </c>
      <c r="C99" s="1">
        <v>2020</v>
      </c>
      <c r="D99" s="5">
        <v>3.9979677999999998E-2</v>
      </c>
      <c r="E99" s="6">
        <v>442</v>
      </c>
    </row>
    <row r="100" spans="1:5" x14ac:dyDescent="0.35">
      <c r="A100" t="s">
        <v>145</v>
      </c>
      <c r="B100" s="1" t="s">
        <v>112</v>
      </c>
      <c r="C100" s="1">
        <v>2010</v>
      </c>
      <c r="D100" s="5">
        <v>7.5697480000000003E-3</v>
      </c>
      <c r="E100" s="6">
        <v>743</v>
      </c>
    </row>
    <row r="101" spans="1:5" x14ac:dyDescent="0.35">
      <c r="A101" t="s">
        <v>145</v>
      </c>
      <c r="B101" s="1" t="s">
        <v>112</v>
      </c>
      <c r="C101" s="1">
        <v>2020</v>
      </c>
      <c r="D101" s="5">
        <v>6.3638310000000003E-3</v>
      </c>
      <c r="E101" s="6">
        <v>701</v>
      </c>
    </row>
    <row r="102" spans="1:5" x14ac:dyDescent="0.35">
      <c r="A102" t="s">
        <v>145</v>
      </c>
      <c r="B102" s="1" t="s">
        <v>113</v>
      </c>
      <c r="C102" s="1">
        <v>2010</v>
      </c>
      <c r="D102" s="5">
        <v>0.15767682</v>
      </c>
      <c r="E102" s="6">
        <v>1710</v>
      </c>
    </row>
    <row r="103" spans="1:5" x14ac:dyDescent="0.35">
      <c r="A103" t="s">
        <v>145</v>
      </c>
      <c r="B103" s="1" t="s">
        <v>113</v>
      </c>
      <c r="C103" s="1">
        <v>2020</v>
      </c>
      <c r="D103" s="5">
        <v>1.2914566000000001E-2</v>
      </c>
      <c r="E103" s="6">
        <v>171</v>
      </c>
    </row>
    <row r="104" spans="1:5" x14ac:dyDescent="0.35">
      <c r="A104" t="s">
        <v>145</v>
      </c>
      <c r="B104" s="1" t="s">
        <v>114</v>
      </c>
      <c r="C104" s="1">
        <v>2010</v>
      </c>
      <c r="D104" s="5">
        <v>8.6726879999999996E-3</v>
      </c>
      <c r="E104" s="6">
        <v>1308</v>
      </c>
    </row>
    <row r="105" spans="1:5" x14ac:dyDescent="0.35">
      <c r="A105" t="s">
        <v>145</v>
      </c>
      <c r="B105" s="1" t="s">
        <v>114</v>
      </c>
      <c r="C105" s="1">
        <v>2020</v>
      </c>
      <c r="D105" s="5">
        <v>7.9597030000000003E-3</v>
      </c>
      <c r="E105" s="6">
        <v>1397</v>
      </c>
    </row>
    <row r="106" spans="1:5" x14ac:dyDescent="0.35">
      <c r="A106" t="s">
        <v>145</v>
      </c>
      <c r="B106" s="1" t="s">
        <v>115</v>
      </c>
      <c r="C106" s="1">
        <v>2010</v>
      </c>
      <c r="D106" s="5">
        <v>6.2854200000000005E-5</v>
      </c>
      <c r="E106" s="6">
        <v>56</v>
      </c>
    </row>
    <row r="107" spans="1:5" x14ac:dyDescent="0.35">
      <c r="A107" t="s">
        <v>145</v>
      </c>
      <c r="B107" s="1" t="s">
        <v>115</v>
      </c>
      <c r="C107" s="1">
        <v>2020</v>
      </c>
      <c r="D107" s="5">
        <v>1.7096099999999999E-4</v>
      </c>
      <c r="E107" s="6">
        <v>187</v>
      </c>
    </row>
    <row r="108" spans="1:5" x14ac:dyDescent="0.35">
      <c r="A108" t="s">
        <v>145</v>
      </c>
      <c r="B108" s="1" t="s">
        <v>116</v>
      </c>
      <c r="C108" s="1">
        <v>2010</v>
      </c>
      <c r="D108" s="5">
        <v>1.7991389999999999E-3</v>
      </c>
      <c r="E108" s="6">
        <v>109</v>
      </c>
    </row>
    <row r="109" spans="1:5" x14ac:dyDescent="0.35">
      <c r="A109" t="s">
        <v>145</v>
      </c>
      <c r="B109" s="1" t="s">
        <v>116</v>
      </c>
      <c r="C109" s="1">
        <v>2020</v>
      </c>
      <c r="D109" s="5">
        <v>1.9069619999999999E-3</v>
      </c>
      <c r="E109" s="6">
        <v>119</v>
      </c>
    </row>
    <row r="110" spans="1:5" x14ac:dyDescent="0.35">
      <c r="A110" t="s">
        <v>145</v>
      </c>
      <c r="B110" s="1" t="s">
        <v>117</v>
      </c>
      <c r="C110" s="1">
        <v>2010</v>
      </c>
      <c r="D110" s="5">
        <v>4.9927880000000001E-2</v>
      </c>
      <c r="E110" s="6">
        <v>594</v>
      </c>
    </row>
    <row r="111" spans="1:5" x14ac:dyDescent="0.35">
      <c r="A111" t="s">
        <v>145</v>
      </c>
      <c r="B111" s="1" t="s">
        <v>117</v>
      </c>
      <c r="C111" s="1">
        <v>2020</v>
      </c>
      <c r="D111" s="5">
        <v>4.9927894E-2</v>
      </c>
      <c r="E111" s="6">
        <v>857</v>
      </c>
    </row>
    <row r="112" spans="1:5" x14ac:dyDescent="0.35">
      <c r="A112" t="s">
        <v>145</v>
      </c>
      <c r="B112" s="1" t="s">
        <v>118</v>
      </c>
      <c r="C112" s="1">
        <v>2010</v>
      </c>
      <c r="D112" s="5">
        <v>2.6635760000000001E-2</v>
      </c>
      <c r="E112" s="6">
        <v>784</v>
      </c>
    </row>
    <row r="113" spans="1:5" x14ac:dyDescent="0.35">
      <c r="A113" t="s">
        <v>145</v>
      </c>
      <c r="B113" s="1" t="s">
        <v>118</v>
      </c>
      <c r="C113" s="1">
        <v>2020</v>
      </c>
      <c r="D113" s="5">
        <v>3.0002010999999999E-2</v>
      </c>
      <c r="E113" s="6">
        <v>987</v>
      </c>
    </row>
    <row r="114" spans="1:5" x14ac:dyDescent="0.35">
      <c r="A114" t="s">
        <v>145</v>
      </c>
      <c r="B114" s="1" t="s">
        <v>119</v>
      </c>
      <c r="C114" s="1">
        <v>2010</v>
      </c>
      <c r="D114" s="5">
        <v>5.8804309999999999E-2</v>
      </c>
      <c r="E114" s="6">
        <v>783</v>
      </c>
    </row>
    <row r="115" spans="1:5" x14ac:dyDescent="0.35">
      <c r="A115" t="s">
        <v>145</v>
      </c>
      <c r="B115" s="1" t="s">
        <v>119</v>
      </c>
      <c r="C115" s="1">
        <v>2020</v>
      </c>
      <c r="D115" s="5">
        <v>6.2808216E-2</v>
      </c>
      <c r="E115" s="6">
        <v>835</v>
      </c>
    </row>
    <row r="116" spans="1:5" x14ac:dyDescent="0.35">
      <c r="A116" t="s">
        <v>145</v>
      </c>
      <c r="B116" s="1" t="s">
        <v>120</v>
      </c>
      <c r="C116" s="1">
        <v>2010</v>
      </c>
      <c r="D116" s="5">
        <v>0.13637355000000001</v>
      </c>
      <c r="E116" s="6">
        <v>1516</v>
      </c>
    </row>
    <row r="117" spans="1:5" x14ac:dyDescent="0.35">
      <c r="A117" t="s">
        <v>145</v>
      </c>
      <c r="B117" s="1" t="s">
        <v>120</v>
      </c>
      <c r="C117" s="1">
        <v>2020</v>
      </c>
      <c r="D117" s="5">
        <v>0.12716849999999999</v>
      </c>
      <c r="E117" s="6">
        <v>1517</v>
      </c>
    </row>
    <row r="118" spans="1:5" x14ac:dyDescent="0.35">
      <c r="A118" t="s">
        <v>145</v>
      </c>
      <c r="B118" s="1" t="s">
        <v>121</v>
      </c>
      <c r="C118" s="1">
        <v>2010</v>
      </c>
      <c r="D118" s="5">
        <v>2.4685380000000002E-3</v>
      </c>
      <c r="E118" s="6">
        <v>2235</v>
      </c>
    </row>
    <row r="119" spans="1:5" x14ac:dyDescent="0.35">
      <c r="A119" t="s">
        <v>145</v>
      </c>
      <c r="B119" s="1" t="s">
        <v>121</v>
      </c>
      <c r="C119" s="1">
        <v>2020</v>
      </c>
      <c r="D119" s="5">
        <v>2.422591E-3</v>
      </c>
      <c r="E119" s="6">
        <v>2881</v>
      </c>
    </row>
    <row r="120" spans="1:5" x14ac:dyDescent="0.35">
      <c r="A120" t="s">
        <v>145</v>
      </c>
      <c r="B120" s="1" t="s">
        <v>122</v>
      </c>
      <c r="C120" s="1">
        <v>2010</v>
      </c>
      <c r="D120" s="5">
        <v>27.111205999999999</v>
      </c>
      <c r="E120" s="6">
        <v>246826</v>
      </c>
    </row>
    <row r="121" spans="1:5" x14ac:dyDescent="0.35">
      <c r="A121" t="s">
        <v>145</v>
      </c>
      <c r="B121" s="1" t="s">
        <v>122</v>
      </c>
      <c r="C121" s="1">
        <v>2020</v>
      </c>
      <c r="D121" s="5">
        <v>24.102959999999999</v>
      </c>
      <c r="E121" s="6">
        <v>220533</v>
      </c>
    </row>
    <row r="122" spans="1:5" x14ac:dyDescent="0.35">
      <c r="A122" t="s">
        <v>145</v>
      </c>
      <c r="B122" s="1" t="s">
        <v>123</v>
      </c>
      <c r="C122" s="1">
        <v>2010</v>
      </c>
      <c r="D122" s="5">
        <v>6.2930189999999997E-2</v>
      </c>
      <c r="E122" s="6">
        <v>3375</v>
      </c>
    </row>
    <row r="123" spans="1:5" x14ac:dyDescent="0.35">
      <c r="A123" t="s">
        <v>145</v>
      </c>
      <c r="B123" s="1" t="s">
        <v>123</v>
      </c>
      <c r="C123" s="1">
        <v>2020</v>
      </c>
      <c r="D123" s="5">
        <v>0.14736658</v>
      </c>
      <c r="E123" s="6">
        <v>8149</v>
      </c>
    </row>
    <row r="124" spans="1:5" x14ac:dyDescent="0.35">
      <c r="A124" t="s">
        <v>145</v>
      </c>
      <c r="B124" s="1" t="s">
        <v>124</v>
      </c>
      <c r="C124" s="1">
        <v>2010</v>
      </c>
      <c r="D124" s="5">
        <v>9.6085219999999999E-2</v>
      </c>
      <c r="E124" s="6">
        <v>60935</v>
      </c>
    </row>
    <row r="125" spans="1:5" x14ac:dyDescent="0.35">
      <c r="A125" t="s">
        <v>145</v>
      </c>
      <c r="B125" s="1" t="s">
        <v>124</v>
      </c>
      <c r="C125" s="1">
        <v>2020</v>
      </c>
      <c r="D125" s="5">
        <v>0.12776678999999999</v>
      </c>
      <c r="E125" s="6">
        <v>84205</v>
      </c>
    </row>
    <row r="126" spans="1:5" x14ac:dyDescent="0.35">
      <c r="A126" t="s">
        <v>145</v>
      </c>
      <c r="B126" s="1" t="s">
        <v>125</v>
      </c>
      <c r="C126" s="1">
        <v>2010</v>
      </c>
      <c r="D126" s="5">
        <v>1.5638380000000001</v>
      </c>
      <c r="E126" s="6">
        <v>3668</v>
      </c>
    </row>
    <row r="127" spans="1:5" x14ac:dyDescent="0.35">
      <c r="A127" t="s">
        <v>145</v>
      </c>
      <c r="B127" s="1" t="s">
        <v>125</v>
      </c>
      <c r="C127" s="1">
        <v>2020</v>
      </c>
      <c r="D127" s="5">
        <v>1.6000295</v>
      </c>
      <c r="E127" s="6">
        <v>4625</v>
      </c>
    </row>
    <row r="128" spans="1:5" x14ac:dyDescent="0.35">
      <c r="A128" t="s">
        <v>145</v>
      </c>
      <c r="B128" s="1" t="s">
        <v>126</v>
      </c>
      <c r="C128" s="1">
        <v>2010</v>
      </c>
      <c r="D128" s="5">
        <v>7.0475146000000002E-2</v>
      </c>
      <c r="E128" s="6">
        <v>191</v>
      </c>
    </row>
    <row r="129" spans="1:5" x14ac:dyDescent="0.35">
      <c r="A129" t="s">
        <v>145</v>
      </c>
      <c r="B129" s="1" t="s">
        <v>126</v>
      </c>
      <c r="C129" s="1">
        <v>2020</v>
      </c>
      <c r="D129" s="5">
        <v>6.2930680000000003E-2</v>
      </c>
      <c r="E129" s="6">
        <v>176</v>
      </c>
    </row>
    <row r="130" spans="1:5" x14ac:dyDescent="0.35">
      <c r="A130" t="s">
        <v>145</v>
      </c>
      <c r="B130" s="1" t="s">
        <v>127</v>
      </c>
      <c r="C130" s="1">
        <v>2010</v>
      </c>
      <c r="D130" s="5">
        <v>0</v>
      </c>
      <c r="E130" s="6">
        <v>0</v>
      </c>
    </row>
    <row r="131" spans="1:5" x14ac:dyDescent="0.35">
      <c r="A131" t="s">
        <v>145</v>
      </c>
      <c r="B131" s="1" t="s">
        <v>127</v>
      </c>
      <c r="C131" s="1">
        <v>2020</v>
      </c>
      <c r="D131" s="5">
        <v>0</v>
      </c>
      <c r="E131" s="6">
        <v>0</v>
      </c>
    </row>
    <row r="132" spans="1:5" x14ac:dyDescent="0.35">
      <c r="A132" t="s">
        <v>145</v>
      </c>
      <c r="B132" s="1" t="s">
        <v>128</v>
      </c>
      <c r="C132" s="1">
        <v>2010</v>
      </c>
      <c r="D132" s="5">
        <v>7.267941E-2</v>
      </c>
      <c r="E132" s="6">
        <v>1400</v>
      </c>
    </row>
    <row r="133" spans="1:5" x14ac:dyDescent="0.35">
      <c r="A133" t="s">
        <v>145</v>
      </c>
      <c r="B133" s="1" t="s">
        <v>128</v>
      </c>
      <c r="C133" s="1">
        <v>2020</v>
      </c>
      <c r="D133" s="5">
        <v>6.6045195000000001E-2</v>
      </c>
      <c r="E133" s="6">
        <v>1662</v>
      </c>
    </row>
    <row r="134" spans="1:5" x14ac:dyDescent="0.35">
      <c r="A134" t="s">
        <v>145</v>
      </c>
      <c r="B134" s="1" t="s">
        <v>129</v>
      </c>
      <c r="C134" s="1">
        <v>2010</v>
      </c>
      <c r="D134" s="5">
        <v>1.1311418E-2</v>
      </c>
      <c r="E134" s="6">
        <v>441</v>
      </c>
    </row>
    <row r="135" spans="1:5" x14ac:dyDescent="0.35">
      <c r="A135" t="s">
        <v>145</v>
      </c>
      <c r="B135" s="1" t="s">
        <v>129</v>
      </c>
      <c r="C135" s="1">
        <v>2020</v>
      </c>
      <c r="D135" s="5">
        <v>1.2154249000000001E-2</v>
      </c>
      <c r="E135" s="6">
        <v>461</v>
      </c>
    </row>
    <row r="136" spans="1:5" x14ac:dyDescent="0.35">
      <c r="A136" t="s">
        <v>145</v>
      </c>
      <c r="B136" s="1" t="s">
        <v>130</v>
      </c>
      <c r="C136" s="1">
        <v>2010</v>
      </c>
      <c r="D136" s="5">
        <v>0.12623432000000001</v>
      </c>
      <c r="E136" s="6">
        <v>102036</v>
      </c>
    </row>
    <row r="137" spans="1:5" x14ac:dyDescent="0.35">
      <c r="A137" t="s">
        <v>145</v>
      </c>
      <c r="B137" s="1" t="s">
        <v>130</v>
      </c>
      <c r="C137" s="1">
        <v>2020</v>
      </c>
      <c r="D137" s="5">
        <v>0.15651976000000001</v>
      </c>
      <c r="E137" s="6">
        <v>130895</v>
      </c>
    </row>
    <row r="138" spans="1:5" x14ac:dyDescent="0.35">
      <c r="A138" t="s">
        <v>145</v>
      </c>
      <c r="B138" s="1" t="s">
        <v>131</v>
      </c>
      <c r="C138" s="1">
        <v>2010</v>
      </c>
      <c r="D138" s="5">
        <v>0</v>
      </c>
      <c r="E138" s="6">
        <v>0</v>
      </c>
    </row>
    <row r="139" spans="1:5" x14ac:dyDescent="0.35">
      <c r="A139" t="s">
        <v>145</v>
      </c>
      <c r="B139" s="1" t="s">
        <v>131</v>
      </c>
      <c r="C139" s="1">
        <v>2020</v>
      </c>
      <c r="D139" s="5">
        <v>0</v>
      </c>
      <c r="E139" s="6">
        <v>0</v>
      </c>
    </row>
    <row r="140" spans="1:5" x14ac:dyDescent="0.35">
      <c r="A140" t="s">
        <v>145</v>
      </c>
      <c r="B140" s="1" t="s">
        <v>132</v>
      </c>
      <c r="C140" s="1">
        <v>2010</v>
      </c>
      <c r="D140" s="5">
        <v>7.2504595000000005E-2</v>
      </c>
      <c r="E140" s="6">
        <v>8066</v>
      </c>
    </row>
    <row r="141" spans="1:5" x14ac:dyDescent="0.35">
      <c r="A141" t="s">
        <v>145</v>
      </c>
      <c r="B141" s="1" t="s">
        <v>132</v>
      </c>
      <c r="C141" s="1">
        <v>2020</v>
      </c>
      <c r="D141" s="5">
        <v>8.5614549999999998E-2</v>
      </c>
      <c r="E141" s="6">
        <v>9160</v>
      </c>
    </row>
    <row r="142" spans="1:5" x14ac:dyDescent="0.35">
      <c r="A142" t="s">
        <v>145</v>
      </c>
      <c r="B142" s="1" t="s">
        <v>133</v>
      </c>
      <c r="C142" s="1">
        <v>2010</v>
      </c>
      <c r="D142" s="5">
        <v>0.20165356000000001</v>
      </c>
      <c r="E142" s="6">
        <v>225</v>
      </c>
    </row>
    <row r="143" spans="1:5" x14ac:dyDescent="0.35">
      <c r="A143" t="s">
        <v>145</v>
      </c>
      <c r="B143" s="1" t="s">
        <v>133</v>
      </c>
      <c r="C143" s="1">
        <v>2020</v>
      </c>
      <c r="D143" s="5">
        <v>0.20165356000000001</v>
      </c>
      <c r="E143" s="6">
        <v>235</v>
      </c>
    </row>
    <row r="144" spans="1:5" x14ac:dyDescent="0.35">
      <c r="A144" t="s">
        <v>145</v>
      </c>
      <c r="B144" s="1" t="s">
        <v>134</v>
      </c>
      <c r="C144" s="1">
        <v>2010</v>
      </c>
      <c r="D144" s="5">
        <v>0.50627195999999997</v>
      </c>
      <c r="E144" s="6">
        <v>2070</v>
      </c>
    </row>
    <row r="145" spans="1:5" x14ac:dyDescent="0.35">
      <c r="A145" t="s">
        <v>145</v>
      </c>
      <c r="B145" s="1" t="s">
        <v>134</v>
      </c>
      <c r="C145" s="1">
        <v>2020</v>
      </c>
      <c r="D145" s="5">
        <v>0.49992087000000002</v>
      </c>
      <c r="E145" s="6">
        <v>2037</v>
      </c>
    </row>
    <row r="146" spans="1:5" x14ac:dyDescent="0.35">
      <c r="A146" t="s">
        <v>145</v>
      </c>
      <c r="B146" s="1" t="s">
        <v>135</v>
      </c>
      <c r="C146" s="1">
        <v>2010</v>
      </c>
      <c r="D146" s="5">
        <v>0</v>
      </c>
      <c r="E146" s="6">
        <v>0</v>
      </c>
    </row>
    <row r="147" spans="1:5" x14ac:dyDescent="0.35">
      <c r="A147" t="s">
        <v>145</v>
      </c>
      <c r="B147" s="1" t="s">
        <v>135</v>
      </c>
      <c r="C147" s="1">
        <v>2020</v>
      </c>
      <c r="D147" s="5">
        <v>0</v>
      </c>
      <c r="E147" s="6">
        <v>0</v>
      </c>
    </row>
    <row r="148" spans="1:5" x14ac:dyDescent="0.35">
      <c r="A148" t="s">
        <v>145</v>
      </c>
      <c r="B148" s="1" t="s">
        <v>136</v>
      </c>
      <c r="C148" s="1">
        <v>2010</v>
      </c>
      <c r="D148" s="5">
        <v>1.2376990000000001E-3</v>
      </c>
      <c r="E148" s="6">
        <v>179</v>
      </c>
    </row>
    <row r="149" spans="1:5" x14ac:dyDescent="0.35">
      <c r="A149" t="s">
        <v>145</v>
      </c>
      <c r="B149" s="1" t="s">
        <v>136</v>
      </c>
      <c r="C149" s="1">
        <v>2020</v>
      </c>
      <c r="D149" s="5">
        <v>1.324677E-3</v>
      </c>
      <c r="E149" s="6">
        <v>230</v>
      </c>
    </row>
    <row r="150" spans="1:5" x14ac:dyDescent="0.35">
      <c r="A150" t="s">
        <v>145</v>
      </c>
      <c r="B150" s="1" t="s">
        <v>137</v>
      </c>
      <c r="C150" s="1">
        <v>2010</v>
      </c>
      <c r="D150" s="5">
        <v>0</v>
      </c>
      <c r="E150" s="6">
        <v>0</v>
      </c>
    </row>
    <row r="151" spans="1:5" x14ac:dyDescent="0.35">
      <c r="A151" t="s">
        <v>145</v>
      </c>
      <c r="B151" s="1" t="s">
        <v>137</v>
      </c>
      <c r="C151" s="1">
        <v>2020</v>
      </c>
      <c r="D151" s="5">
        <v>0</v>
      </c>
      <c r="E151" s="6">
        <v>0</v>
      </c>
    </row>
    <row r="152" spans="1:5" x14ac:dyDescent="0.35">
      <c r="A152" t="s">
        <v>145</v>
      </c>
      <c r="B152" s="1" t="s">
        <v>138</v>
      </c>
      <c r="C152" s="1">
        <v>2010</v>
      </c>
      <c r="D152" s="5">
        <v>0</v>
      </c>
      <c r="E152" s="6">
        <v>0</v>
      </c>
    </row>
    <row r="153" spans="1:5" x14ac:dyDescent="0.35">
      <c r="A153" t="s">
        <v>145</v>
      </c>
      <c r="B153" s="1" t="s">
        <v>138</v>
      </c>
      <c r="C153" s="1">
        <v>2020</v>
      </c>
      <c r="D153" s="5">
        <v>0</v>
      </c>
      <c r="E153" s="6">
        <v>0</v>
      </c>
    </row>
    <row r="154" spans="1:5" x14ac:dyDescent="0.35">
      <c r="A154" t="s">
        <v>145</v>
      </c>
      <c r="B154" s="1" t="s">
        <v>139</v>
      </c>
      <c r="C154" s="1">
        <v>2010</v>
      </c>
      <c r="D154" s="5">
        <v>24.825644</v>
      </c>
      <c r="E154" s="6">
        <v>186008</v>
      </c>
    </row>
    <row r="155" spans="1:5" x14ac:dyDescent="0.35">
      <c r="A155" t="s">
        <v>145</v>
      </c>
      <c r="B155" s="1" t="s">
        <v>139</v>
      </c>
      <c r="C155" s="1">
        <v>2020</v>
      </c>
      <c r="D155" s="5">
        <v>23.399010000000001</v>
      </c>
      <c r="E155" s="6">
        <v>188943</v>
      </c>
    </row>
    <row r="156" spans="1:5" x14ac:dyDescent="0.35">
      <c r="A156" t="s">
        <v>145</v>
      </c>
      <c r="B156" s="1" t="s">
        <v>140</v>
      </c>
      <c r="C156" s="1">
        <v>2010</v>
      </c>
      <c r="D156" s="5">
        <v>0</v>
      </c>
      <c r="E156" s="6">
        <v>0</v>
      </c>
    </row>
    <row r="157" spans="1:5" x14ac:dyDescent="0.35">
      <c r="A157" t="s">
        <v>145</v>
      </c>
      <c r="B157" s="1" t="s">
        <v>140</v>
      </c>
      <c r="C157" s="1">
        <v>2020</v>
      </c>
      <c r="D157" s="5">
        <v>0</v>
      </c>
      <c r="E157" s="6">
        <v>0</v>
      </c>
    </row>
    <row r="158" spans="1:5" x14ac:dyDescent="0.35">
      <c r="A158" t="s">
        <v>145</v>
      </c>
      <c r="B158" s="1" t="s">
        <v>141</v>
      </c>
      <c r="C158" s="1">
        <v>2010</v>
      </c>
      <c r="D158" s="5">
        <v>0</v>
      </c>
      <c r="E158" s="6">
        <v>0</v>
      </c>
    </row>
    <row r="159" spans="1:5" x14ac:dyDescent="0.35">
      <c r="A159" t="s">
        <v>145</v>
      </c>
      <c r="B159" s="1" t="s">
        <v>141</v>
      </c>
      <c r="C159" s="1">
        <v>2020</v>
      </c>
      <c r="D159" s="5">
        <v>1.2843609999999999E-3</v>
      </c>
      <c r="E159" s="6">
        <v>130</v>
      </c>
    </row>
    <row r="160" spans="1:5" x14ac:dyDescent="0.35">
      <c r="A160" t="s">
        <v>145</v>
      </c>
      <c r="B160" s="1" t="s">
        <v>142</v>
      </c>
      <c r="C160" s="1">
        <v>2010</v>
      </c>
      <c r="D160" s="5">
        <v>0.10497679</v>
      </c>
      <c r="E160" s="6">
        <v>7455</v>
      </c>
    </row>
    <row r="161" spans="1:5" x14ac:dyDescent="0.35">
      <c r="A161" t="s">
        <v>145</v>
      </c>
      <c r="B161" s="1" t="s">
        <v>142</v>
      </c>
      <c r="C161" s="1">
        <v>2020</v>
      </c>
      <c r="D161" s="5">
        <v>0.30339073999999999</v>
      </c>
      <c r="E161" s="6">
        <v>22725</v>
      </c>
    </row>
    <row r="162" spans="1:5" x14ac:dyDescent="0.35">
      <c r="A162" t="s">
        <v>145</v>
      </c>
      <c r="B162" s="1" t="s">
        <v>143</v>
      </c>
      <c r="C162" s="1">
        <v>2010</v>
      </c>
      <c r="D162" s="5">
        <v>3.534346E-2</v>
      </c>
      <c r="E162" s="6">
        <v>3527</v>
      </c>
    </row>
    <row r="163" spans="1:5" x14ac:dyDescent="0.35">
      <c r="A163" t="s">
        <v>145</v>
      </c>
      <c r="B163" s="1" t="s">
        <v>143</v>
      </c>
      <c r="C163" s="1">
        <v>2020</v>
      </c>
      <c r="D163" s="5">
        <v>5.7621020000000002E-2</v>
      </c>
      <c r="E163" s="6">
        <v>5618</v>
      </c>
    </row>
    <row r="164" spans="1:5" x14ac:dyDescent="0.35">
      <c r="A164" t="s">
        <v>145</v>
      </c>
      <c r="B164" s="1" t="s">
        <v>144</v>
      </c>
      <c r="C164" s="1">
        <v>2010</v>
      </c>
      <c r="D164" s="5">
        <v>0.12599516999999999</v>
      </c>
      <c r="E164" s="6">
        <v>401</v>
      </c>
    </row>
    <row r="165" spans="1:5" x14ac:dyDescent="0.35">
      <c r="A165" t="s">
        <v>145</v>
      </c>
      <c r="B165" s="1" t="s">
        <v>144</v>
      </c>
      <c r="C165" s="1">
        <v>2020</v>
      </c>
      <c r="D165" s="5">
        <v>0.16047928</v>
      </c>
      <c r="E165" s="6">
        <v>588</v>
      </c>
    </row>
    <row r="166" spans="1:5" x14ac:dyDescent="0.35">
      <c r="A166" t="s">
        <v>145</v>
      </c>
      <c r="B166" s="1" t="s">
        <v>145</v>
      </c>
      <c r="C166" s="1">
        <v>2010</v>
      </c>
      <c r="D166" s="5">
        <v>79.973960000000005</v>
      </c>
      <c r="E166" s="6">
        <v>994461463</v>
      </c>
    </row>
    <row r="167" spans="1:5" x14ac:dyDescent="0.35">
      <c r="A167" t="s">
        <v>145</v>
      </c>
      <c r="B167" s="1" t="s">
        <v>145</v>
      </c>
      <c r="C167" s="1">
        <v>2020</v>
      </c>
      <c r="D167" s="5">
        <v>79.366190000000003</v>
      </c>
      <c r="E167" s="6">
        <v>1113204194</v>
      </c>
    </row>
    <row r="168" spans="1:5" x14ac:dyDescent="0.35">
      <c r="A168" t="s">
        <v>145</v>
      </c>
      <c r="B168" s="1" t="s">
        <v>146</v>
      </c>
      <c r="C168" s="1">
        <v>2010</v>
      </c>
      <c r="D168" s="5">
        <v>1.6939561000000001</v>
      </c>
      <c r="E168" s="6">
        <v>4172304</v>
      </c>
    </row>
    <row r="169" spans="1:5" x14ac:dyDescent="0.35">
      <c r="A169" t="s">
        <v>145</v>
      </c>
      <c r="B169" s="1" t="s">
        <v>146</v>
      </c>
      <c r="C169" s="1">
        <v>2020</v>
      </c>
      <c r="D169" s="5">
        <v>1.5842966999999999</v>
      </c>
      <c r="E169" s="6">
        <v>4353883</v>
      </c>
    </row>
    <row r="170" spans="1:5" x14ac:dyDescent="0.35">
      <c r="A170" t="s">
        <v>145</v>
      </c>
      <c r="B170" s="1" t="s">
        <v>147</v>
      </c>
      <c r="C170" s="1">
        <v>2010</v>
      </c>
      <c r="D170" s="5">
        <v>0</v>
      </c>
      <c r="E170" s="6">
        <v>0</v>
      </c>
    </row>
    <row r="171" spans="1:5" x14ac:dyDescent="0.35">
      <c r="A171" t="s">
        <v>145</v>
      </c>
      <c r="B171" s="1" t="s">
        <v>147</v>
      </c>
      <c r="C171" s="1">
        <v>2020</v>
      </c>
      <c r="D171" s="5">
        <v>2.1921700000000001E-4</v>
      </c>
      <c r="E171" s="6">
        <v>192</v>
      </c>
    </row>
    <row r="172" spans="1:5" x14ac:dyDescent="0.35">
      <c r="A172" t="s">
        <v>145</v>
      </c>
      <c r="B172" s="1" t="s">
        <v>148</v>
      </c>
      <c r="C172" s="1">
        <v>2010</v>
      </c>
      <c r="D172" s="5">
        <v>4.79772E-4</v>
      </c>
      <c r="E172" s="6">
        <v>149</v>
      </c>
    </row>
    <row r="173" spans="1:5" x14ac:dyDescent="0.35">
      <c r="A173" t="s">
        <v>145</v>
      </c>
      <c r="B173" s="1" t="s">
        <v>148</v>
      </c>
      <c r="C173" s="1">
        <v>2020</v>
      </c>
      <c r="D173" s="5">
        <v>4.9345599999999997E-4</v>
      </c>
      <c r="E173" s="6">
        <v>208</v>
      </c>
    </row>
    <row r="174" spans="1:5" x14ac:dyDescent="0.35">
      <c r="A174" t="s">
        <v>145</v>
      </c>
      <c r="B174" s="1" t="s">
        <v>149</v>
      </c>
      <c r="C174" s="1">
        <v>2010</v>
      </c>
      <c r="D174" s="5">
        <v>0.23686795999999999</v>
      </c>
      <c r="E174" s="6">
        <v>10799</v>
      </c>
    </row>
    <row r="175" spans="1:5" x14ac:dyDescent="0.35">
      <c r="A175" t="s">
        <v>145</v>
      </c>
      <c r="B175" s="1" t="s">
        <v>149</v>
      </c>
      <c r="C175" s="1">
        <v>2020</v>
      </c>
      <c r="D175" s="5">
        <v>0.69491415999999995</v>
      </c>
      <c r="E175" s="6">
        <v>34625</v>
      </c>
    </row>
    <row r="176" spans="1:5" x14ac:dyDescent="0.35">
      <c r="A176" t="s">
        <v>145</v>
      </c>
      <c r="B176" s="1" t="s">
        <v>150</v>
      </c>
      <c r="C176" s="1">
        <v>2010</v>
      </c>
      <c r="D176" s="5">
        <v>0.19927120000000001</v>
      </c>
      <c r="E176" s="6">
        <v>14620</v>
      </c>
    </row>
    <row r="177" spans="1:5" x14ac:dyDescent="0.35">
      <c r="A177" t="s">
        <v>145</v>
      </c>
      <c r="B177" s="1" t="s">
        <v>150</v>
      </c>
      <c r="C177" s="1">
        <v>2020</v>
      </c>
      <c r="D177" s="5">
        <v>0.16612966000000001</v>
      </c>
      <c r="E177" s="6">
        <v>14620</v>
      </c>
    </row>
    <row r="178" spans="1:5" x14ac:dyDescent="0.35">
      <c r="A178" t="s">
        <v>145</v>
      </c>
      <c r="B178" s="1" t="s">
        <v>151</v>
      </c>
      <c r="C178" s="1">
        <v>2010</v>
      </c>
      <c r="D178" s="5">
        <v>0.30003983000000001</v>
      </c>
      <c r="E178" s="6">
        <v>180517</v>
      </c>
    </row>
    <row r="179" spans="1:5" x14ac:dyDescent="0.35">
      <c r="A179" t="s">
        <v>145</v>
      </c>
      <c r="B179" s="1" t="s">
        <v>151</v>
      </c>
      <c r="C179" s="1">
        <v>2020</v>
      </c>
      <c r="D179" s="5">
        <v>0.42585316000000001</v>
      </c>
      <c r="E179" s="6">
        <v>255140</v>
      </c>
    </row>
    <row r="180" spans="1:5" x14ac:dyDescent="0.35">
      <c r="A180" t="s">
        <v>145</v>
      </c>
      <c r="B180" s="1" t="s">
        <v>152</v>
      </c>
      <c r="C180" s="1">
        <v>2010</v>
      </c>
      <c r="D180" s="5">
        <v>3.840673E-2</v>
      </c>
      <c r="E180" s="6">
        <v>1056</v>
      </c>
    </row>
    <row r="181" spans="1:5" x14ac:dyDescent="0.35">
      <c r="A181" t="s">
        <v>145</v>
      </c>
      <c r="B181" s="1" t="s">
        <v>152</v>
      </c>
      <c r="C181" s="1">
        <v>2020</v>
      </c>
      <c r="D181" s="5">
        <v>3.6873740000000002E-2</v>
      </c>
      <c r="E181" s="6">
        <v>1044</v>
      </c>
    </row>
    <row r="182" spans="1:5" x14ac:dyDescent="0.35">
      <c r="A182" t="s">
        <v>145</v>
      </c>
      <c r="B182" s="1" t="s">
        <v>153</v>
      </c>
      <c r="C182" s="1">
        <v>2010</v>
      </c>
      <c r="D182" s="5">
        <v>2.4834789999999999E-2</v>
      </c>
      <c r="E182" s="6">
        <v>31835</v>
      </c>
    </row>
    <row r="183" spans="1:5" x14ac:dyDescent="0.35">
      <c r="A183" t="s">
        <v>145</v>
      </c>
      <c r="B183" s="1" t="s">
        <v>153</v>
      </c>
      <c r="C183" s="1">
        <v>2020</v>
      </c>
      <c r="D183" s="5">
        <v>3.1737354000000002E-2</v>
      </c>
      <c r="E183" s="6">
        <v>40086</v>
      </c>
    </row>
    <row r="184" spans="1:5" x14ac:dyDescent="0.35">
      <c r="A184" t="s">
        <v>145</v>
      </c>
      <c r="B184" s="1" t="s">
        <v>154</v>
      </c>
      <c r="C184" s="1">
        <v>2010</v>
      </c>
      <c r="D184" s="5">
        <v>6.3812369999999993E-2</v>
      </c>
      <c r="E184" s="6">
        <v>4656</v>
      </c>
    </row>
    <row r="185" spans="1:5" x14ac:dyDescent="0.35">
      <c r="A185" t="s">
        <v>145</v>
      </c>
      <c r="B185" s="1" t="s">
        <v>154</v>
      </c>
      <c r="C185" s="1">
        <v>2020</v>
      </c>
      <c r="D185" s="5">
        <v>2.7908115000000001E-2</v>
      </c>
      <c r="E185" s="6">
        <v>3032</v>
      </c>
    </row>
    <row r="186" spans="1:5" x14ac:dyDescent="0.35">
      <c r="A186" t="s">
        <v>145</v>
      </c>
      <c r="B186" s="1" t="s">
        <v>155</v>
      </c>
      <c r="C186" s="1">
        <v>2010</v>
      </c>
      <c r="D186" s="5">
        <v>0</v>
      </c>
      <c r="E186" s="6">
        <v>0</v>
      </c>
    </row>
    <row r="187" spans="1:5" x14ac:dyDescent="0.35">
      <c r="A187" t="s">
        <v>145</v>
      </c>
      <c r="B187" s="1" t="s">
        <v>155</v>
      </c>
      <c r="C187" s="1">
        <v>2020</v>
      </c>
      <c r="D187" s="5">
        <v>0</v>
      </c>
      <c r="E187" s="6">
        <v>0</v>
      </c>
    </row>
    <row r="188" spans="1:5" x14ac:dyDescent="0.35">
      <c r="A188" t="s">
        <v>145</v>
      </c>
      <c r="B188" s="1" t="s">
        <v>156</v>
      </c>
      <c r="C188" s="1">
        <v>2010</v>
      </c>
      <c r="D188" s="5">
        <v>0.13922245999999999</v>
      </c>
      <c r="E188" s="6">
        <v>57915</v>
      </c>
    </row>
    <row r="189" spans="1:5" x14ac:dyDescent="0.35">
      <c r="A189" t="s">
        <v>145</v>
      </c>
      <c r="B189" s="1" t="s">
        <v>156</v>
      </c>
      <c r="C189" s="1">
        <v>2020</v>
      </c>
      <c r="D189" s="5">
        <v>0.12790793</v>
      </c>
      <c r="E189" s="6">
        <v>66790</v>
      </c>
    </row>
    <row r="190" spans="1:5" x14ac:dyDescent="0.35">
      <c r="A190" t="s">
        <v>145</v>
      </c>
      <c r="B190" s="1" t="s">
        <v>157</v>
      </c>
      <c r="C190" s="1">
        <v>2010</v>
      </c>
      <c r="D190" s="5">
        <v>0</v>
      </c>
      <c r="E190" s="6">
        <v>0</v>
      </c>
    </row>
    <row r="191" spans="1:5" x14ac:dyDescent="0.35">
      <c r="A191" t="s">
        <v>145</v>
      </c>
      <c r="B191" s="1" t="s">
        <v>157</v>
      </c>
      <c r="C191" s="1">
        <v>2020</v>
      </c>
      <c r="D191" s="5">
        <v>0</v>
      </c>
      <c r="E191" s="6">
        <v>0</v>
      </c>
    </row>
    <row r="192" spans="1:5" x14ac:dyDescent="0.35">
      <c r="A192" t="s">
        <v>145</v>
      </c>
      <c r="B192" s="1" t="s">
        <v>158</v>
      </c>
      <c r="C192" s="1">
        <v>2010</v>
      </c>
      <c r="D192" s="5">
        <v>0</v>
      </c>
      <c r="E192" s="6">
        <v>0</v>
      </c>
    </row>
    <row r="193" spans="1:5" x14ac:dyDescent="0.35">
      <c r="A193" t="s">
        <v>145</v>
      </c>
      <c r="B193" s="1" t="s">
        <v>158</v>
      </c>
      <c r="C193" s="1">
        <v>2020</v>
      </c>
      <c r="D193" s="5">
        <v>0</v>
      </c>
      <c r="E193" s="6">
        <v>0</v>
      </c>
    </row>
    <row r="194" spans="1:5" x14ac:dyDescent="0.35">
      <c r="A194" t="s">
        <v>145</v>
      </c>
      <c r="B194" s="1" t="s">
        <v>159</v>
      </c>
      <c r="C194" s="1">
        <v>2010</v>
      </c>
      <c r="D194" s="5">
        <v>7.3805310000000004</v>
      </c>
      <c r="E194" s="6">
        <v>217236</v>
      </c>
    </row>
    <row r="195" spans="1:5" x14ac:dyDescent="0.35">
      <c r="A195" t="s">
        <v>145</v>
      </c>
      <c r="B195" s="1" t="s">
        <v>159</v>
      </c>
      <c r="C195" s="1">
        <v>2020</v>
      </c>
      <c r="D195" s="5">
        <v>8.5042010000000001</v>
      </c>
      <c r="E195" s="6">
        <v>374197</v>
      </c>
    </row>
    <row r="196" spans="1:5" x14ac:dyDescent="0.35">
      <c r="A196" t="s">
        <v>145</v>
      </c>
      <c r="B196" s="1" t="s">
        <v>160</v>
      </c>
      <c r="C196" s="1">
        <v>2010</v>
      </c>
      <c r="D196" s="5">
        <v>1.5682629999999999E-2</v>
      </c>
      <c r="E196" s="6">
        <v>861</v>
      </c>
    </row>
    <row r="197" spans="1:5" x14ac:dyDescent="0.35">
      <c r="A197" t="s">
        <v>145</v>
      </c>
      <c r="B197" s="1" t="s">
        <v>160</v>
      </c>
      <c r="C197" s="1">
        <v>2020</v>
      </c>
      <c r="D197" s="5">
        <v>9.3387049999999992E-3</v>
      </c>
      <c r="E197" s="6">
        <v>622</v>
      </c>
    </row>
    <row r="198" spans="1:5" x14ac:dyDescent="0.35">
      <c r="A198" t="s">
        <v>145</v>
      </c>
      <c r="B198" s="1" t="s">
        <v>161</v>
      </c>
      <c r="C198" s="1">
        <v>2010</v>
      </c>
      <c r="D198" s="5">
        <v>0</v>
      </c>
      <c r="E198" s="6">
        <v>0</v>
      </c>
    </row>
    <row r="199" spans="1:5" x14ac:dyDescent="0.35">
      <c r="A199" t="s">
        <v>145</v>
      </c>
      <c r="B199" s="1" t="s">
        <v>161</v>
      </c>
      <c r="C199" s="1">
        <v>2020</v>
      </c>
      <c r="D199" s="5">
        <v>0</v>
      </c>
      <c r="E199" s="6">
        <v>0</v>
      </c>
    </row>
    <row r="200" spans="1:5" x14ac:dyDescent="0.35">
      <c r="A200" t="s">
        <v>145</v>
      </c>
      <c r="B200" s="1" t="s">
        <v>162</v>
      </c>
      <c r="C200" s="1">
        <v>2010</v>
      </c>
      <c r="D200" s="5">
        <v>1.9985434E-2</v>
      </c>
      <c r="E200" s="6">
        <v>419</v>
      </c>
    </row>
    <row r="201" spans="1:5" x14ac:dyDescent="0.35">
      <c r="A201" t="s">
        <v>145</v>
      </c>
      <c r="B201" s="1" t="s">
        <v>162</v>
      </c>
      <c r="C201" s="1">
        <v>2020</v>
      </c>
      <c r="D201" s="5">
        <v>4.322496E-2</v>
      </c>
      <c r="E201" s="6">
        <v>822</v>
      </c>
    </row>
    <row r="202" spans="1:5" x14ac:dyDescent="0.35">
      <c r="A202" t="s">
        <v>145</v>
      </c>
      <c r="B202" s="1" t="s">
        <v>163</v>
      </c>
      <c r="C202" s="1">
        <v>2010</v>
      </c>
      <c r="D202" s="5">
        <v>1.6173587999999999E-2</v>
      </c>
      <c r="E202" s="6">
        <v>815</v>
      </c>
    </row>
    <row r="203" spans="1:5" x14ac:dyDescent="0.35">
      <c r="A203" t="s">
        <v>145</v>
      </c>
      <c r="B203" s="1" t="s">
        <v>163</v>
      </c>
      <c r="C203" s="1">
        <v>2020</v>
      </c>
      <c r="D203" s="5">
        <v>1.7323207E-2</v>
      </c>
      <c r="E203" s="6">
        <v>988</v>
      </c>
    </row>
    <row r="204" spans="1:5" x14ac:dyDescent="0.35">
      <c r="A204" t="s">
        <v>145</v>
      </c>
      <c r="B204" s="1" t="s">
        <v>164</v>
      </c>
      <c r="C204" s="1">
        <v>2010</v>
      </c>
      <c r="D204" s="5">
        <v>2.4718859999999999E-2</v>
      </c>
      <c r="E204" s="6">
        <v>493</v>
      </c>
    </row>
    <row r="205" spans="1:5" x14ac:dyDescent="0.35">
      <c r="A205" t="s">
        <v>145</v>
      </c>
      <c r="B205" s="1" t="s">
        <v>164</v>
      </c>
      <c r="C205" s="1">
        <v>2020</v>
      </c>
      <c r="D205" s="5">
        <v>4.4363603000000001E-2</v>
      </c>
      <c r="E205" s="6">
        <v>992</v>
      </c>
    </row>
    <row r="206" spans="1:5" x14ac:dyDescent="0.35">
      <c r="A206" t="s">
        <v>145</v>
      </c>
      <c r="B206" s="1" t="s">
        <v>165</v>
      </c>
      <c r="C206" s="1">
        <v>2010</v>
      </c>
      <c r="D206" s="5">
        <v>7.4627679999999998E-3</v>
      </c>
      <c r="E206" s="6">
        <v>303</v>
      </c>
    </row>
    <row r="207" spans="1:5" x14ac:dyDescent="0.35">
      <c r="A207" t="s">
        <v>145</v>
      </c>
      <c r="B207" s="1" t="s">
        <v>165</v>
      </c>
      <c r="C207" s="1">
        <v>2020</v>
      </c>
      <c r="D207" s="5">
        <v>5.8967079999999996E-3</v>
      </c>
      <c r="E207" s="6">
        <v>304</v>
      </c>
    </row>
    <row r="208" spans="1:5" x14ac:dyDescent="0.35">
      <c r="A208" t="s">
        <v>145</v>
      </c>
      <c r="B208" s="1" t="s">
        <v>166</v>
      </c>
      <c r="C208" s="1">
        <v>2010</v>
      </c>
      <c r="D208" s="5">
        <v>8.8970579999999994E-2</v>
      </c>
      <c r="E208" s="6">
        <v>5781</v>
      </c>
    </row>
    <row r="209" spans="1:5" x14ac:dyDescent="0.35">
      <c r="A209" t="s">
        <v>145</v>
      </c>
      <c r="B209" s="1" t="s">
        <v>166</v>
      </c>
      <c r="C209" s="1">
        <v>2020</v>
      </c>
      <c r="D209" s="5">
        <v>8.9997694000000003E-2</v>
      </c>
      <c r="E209" s="6">
        <v>6341</v>
      </c>
    </row>
    <row r="210" spans="1:5" x14ac:dyDescent="0.35">
      <c r="A210" t="s">
        <v>145</v>
      </c>
      <c r="B210" s="1" t="s">
        <v>167</v>
      </c>
      <c r="C210" s="1">
        <v>2010</v>
      </c>
      <c r="D210" s="5">
        <v>8.6014149999999994E-3</v>
      </c>
      <c r="E210" s="6">
        <v>266</v>
      </c>
    </row>
    <row r="211" spans="1:5" x14ac:dyDescent="0.35">
      <c r="A211" t="s">
        <v>145</v>
      </c>
      <c r="B211" s="1" t="s">
        <v>167</v>
      </c>
      <c r="C211" s="1">
        <v>2020</v>
      </c>
      <c r="D211" s="5">
        <v>1.8437973999999999E-2</v>
      </c>
      <c r="E211" s="6">
        <v>515</v>
      </c>
    </row>
    <row r="212" spans="1:5" x14ac:dyDescent="0.35">
      <c r="A212" t="s">
        <v>145</v>
      </c>
      <c r="B212" s="1" t="s">
        <v>168</v>
      </c>
      <c r="C212" s="1">
        <v>2010</v>
      </c>
      <c r="D212" s="5">
        <v>0.13422716000000001</v>
      </c>
      <c r="E212" s="6">
        <v>681</v>
      </c>
    </row>
    <row r="213" spans="1:5" x14ac:dyDescent="0.35">
      <c r="A213" t="s">
        <v>145</v>
      </c>
      <c r="B213" s="1" t="s">
        <v>168</v>
      </c>
      <c r="C213" s="1">
        <v>2020</v>
      </c>
      <c r="D213" s="5">
        <v>0.36008911999999998</v>
      </c>
      <c r="E213" s="6">
        <v>2271</v>
      </c>
    </row>
    <row r="214" spans="1:5" x14ac:dyDescent="0.35">
      <c r="A214" t="s">
        <v>145</v>
      </c>
      <c r="B214" s="1" t="s">
        <v>169</v>
      </c>
      <c r="C214" s="1">
        <v>2010</v>
      </c>
      <c r="D214" s="5">
        <v>0</v>
      </c>
      <c r="E214" s="6">
        <v>0</v>
      </c>
    </row>
    <row r="215" spans="1:5" x14ac:dyDescent="0.35">
      <c r="A215" t="s">
        <v>145</v>
      </c>
      <c r="B215" s="1" t="s">
        <v>169</v>
      </c>
      <c r="C215" s="1">
        <v>2020</v>
      </c>
      <c r="D215" s="5">
        <v>0</v>
      </c>
      <c r="E215" s="6">
        <v>0</v>
      </c>
    </row>
    <row r="216" spans="1:5" x14ac:dyDescent="0.35">
      <c r="A216" t="s">
        <v>145</v>
      </c>
      <c r="B216" s="1" t="s">
        <v>170</v>
      </c>
      <c r="C216" s="1">
        <v>2010</v>
      </c>
      <c r="D216" s="5">
        <v>5.9822227999999998E-2</v>
      </c>
      <c r="E216" s="6">
        <v>13271</v>
      </c>
    </row>
    <row r="217" spans="1:5" x14ac:dyDescent="0.35">
      <c r="A217" t="s">
        <v>145</v>
      </c>
      <c r="B217" s="1" t="s">
        <v>170</v>
      </c>
      <c r="C217" s="1">
        <v>2020</v>
      </c>
      <c r="D217" s="5">
        <v>6.3666570000000006E-2</v>
      </c>
      <c r="E217" s="6">
        <v>18434</v>
      </c>
    </row>
    <row r="218" spans="1:5" x14ac:dyDescent="0.35">
      <c r="A218" t="s">
        <v>145</v>
      </c>
      <c r="B218" s="1" t="s">
        <v>171</v>
      </c>
      <c r="C218" s="1">
        <v>2010</v>
      </c>
      <c r="D218" s="5">
        <v>5.8430179999999998E-2</v>
      </c>
      <c r="E218" s="6">
        <v>8663</v>
      </c>
    </row>
    <row r="219" spans="1:5" x14ac:dyDescent="0.35">
      <c r="A219" t="s">
        <v>145</v>
      </c>
      <c r="B219" s="1" t="s">
        <v>171</v>
      </c>
      <c r="C219" s="1">
        <v>2020</v>
      </c>
      <c r="D219" s="5">
        <v>6.9153935E-2</v>
      </c>
      <c r="E219" s="6">
        <v>13508</v>
      </c>
    </row>
    <row r="220" spans="1:5" x14ac:dyDescent="0.35">
      <c r="A220" t="s">
        <v>145</v>
      </c>
      <c r="B220" s="1" t="s">
        <v>172</v>
      </c>
      <c r="C220" s="1">
        <v>2010</v>
      </c>
      <c r="D220" s="5">
        <v>6.2792919999999999</v>
      </c>
      <c r="E220" s="6">
        <v>1799380</v>
      </c>
    </row>
    <row r="221" spans="1:5" x14ac:dyDescent="0.35">
      <c r="A221" t="s">
        <v>145</v>
      </c>
      <c r="B221" s="1" t="s">
        <v>172</v>
      </c>
      <c r="C221" s="1">
        <v>2020</v>
      </c>
      <c r="D221" s="5">
        <v>6.122179</v>
      </c>
      <c r="E221" s="6">
        <v>2074780</v>
      </c>
    </row>
    <row r="222" spans="1:5" x14ac:dyDescent="0.35">
      <c r="A222" t="s">
        <v>145</v>
      </c>
      <c r="B222" s="1" t="s">
        <v>173</v>
      </c>
      <c r="C222" s="1">
        <v>2010</v>
      </c>
      <c r="D222" s="5">
        <v>2.513083</v>
      </c>
      <c r="E222" s="6">
        <v>9067</v>
      </c>
    </row>
    <row r="223" spans="1:5" x14ac:dyDescent="0.35">
      <c r="A223" t="s">
        <v>145</v>
      </c>
      <c r="B223" s="1" t="s">
        <v>173</v>
      </c>
      <c r="C223" s="1">
        <v>2020</v>
      </c>
      <c r="D223" s="5">
        <v>2.5410873999999999</v>
      </c>
      <c r="E223" s="6">
        <v>12759</v>
      </c>
    </row>
    <row r="224" spans="1:5" x14ac:dyDescent="0.35">
      <c r="A224" t="s">
        <v>145</v>
      </c>
      <c r="B224" s="1" t="s">
        <v>174</v>
      </c>
      <c r="C224" s="1">
        <v>2010</v>
      </c>
      <c r="D224" s="5">
        <v>0</v>
      </c>
      <c r="E224" s="6">
        <v>0</v>
      </c>
    </row>
    <row r="225" spans="1:5" x14ac:dyDescent="0.35">
      <c r="A225" t="s">
        <v>145</v>
      </c>
      <c r="B225" s="1" t="s">
        <v>174</v>
      </c>
      <c r="C225" s="1">
        <v>2020</v>
      </c>
      <c r="D225" s="5">
        <v>0</v>
      </c>
      <c r="E225" s="6">
        <v>0</v>
      </c>
    </row>
    <row r="226" spans="1:5" x14ac:dyDescent="0.35">
      <c r="A226" t="s">
        <v>145</v>
      </c>
      <c r="B226" s="1" t="s">
        <v>175</v>
      </c>
      <c r="C226" s="1">
        <v>2010</v>
      </c>
      <c r="D226" s="5">
        <v>8.3581089999999997E-2</v>
      </c>
      <c r="E226" s="6">
        <v>353</v>
      </c>
    </row>
    <row r="227" spans="1:5" x14ac:dyDescent="0.35">
      <c r="A227" t="s">
        <v>145</v>
      </c>
      <c r="B227" s="1" t="s">
        <v>175</v>
      </c>
      <c r="C227" s="1">
        <v>2020</v>
      </c>
      <c r="D227" s="5">
        <v>1.4153273</v>
      </c>
      <c r="E227" s="6">
        <v>7334</v>
      </c>
    </row>
    <row r="228" spans="1:5" x14ac:dyDescent="0.35">
      <c r="A228" t="s">
        <v>145</v>
      </c>
      <c r="B228" s="1" t="s">
        <v>176</v>
      </c>
      <c r="C228" s="1">
        <v>2010</v>
      </c>
      <c r="D228" s="5">
        <v>0.23085342</v>
      </c>
      <c r="E228" s="6">
        <v>917</v>
      </c>
    </row>
    <row r="229" spans="1:5" x14ac:dyDescent="0.35">
      <c r="A229" t="s">
        <v>145</v>
      </c>
      <c r="B229" s="1" t="s">
        <v>176</v>
      </c>
      <c r="C229" s="1">
        <v>2020</v>
      </c>
      <c r="D229" s="5">
        <v>0.23743221</v>
      </c>
      <c r="E229" s="6">
        <v>847</v>
      </c>
    </row>
    <row r="230" spans="1:5" x14ac:dyDescent="0.35">
      <c r="A230" t="s">
        <v>145</v>
      </c>
      <c r="B230" s="1" t="s">
        <v>177</v>
      </c>
      <c r="C230" s="1">
        <v>2010</v>
      </c>
      <c r="D230" s="5">
        <v>0</v>
      </c>
      <c r="E230" s="6">
        <v>0</v>
      </c>
    </row>
    <row r="231" spans="1:5" x14ac:dyDescent="0.35">
      <c r="A231" t="s">
        <v>145</v>
      </c>
      <c r="B231" s="1" t="s">
        <v>177</v>
      </c>
      <c r="C231" s="1">
        <v>2020</v>
      </c>
      <c r="D231" s="5">
        <v>0</v>
      </c>
      <c r="E231" s="6">
        <v>0</v>
      </c>
    </row>
    <row r="232" spans="1:5" x14ac:dyDescent="0.35">
      <c r="A232" t="s">
        <v>145</v>
      </c>
      <c r="B232" s="1" t="s">
        <v>178</v>
      </c>
      <c r="C232" s="1">
        <v>2010</v>
      </c>
      <c r="D232" s="5">
        <v>48.514290000000003</v>
      </c>
      <c r="E232" s="6">
        <v>622297</v>
      </c>
    </row>
    <row r="233" spans="1:5" x14ac:dyDescent="0.35">
      <c r="A233" t="s">
        <v>145</v>
      </c>
      <c r="B233" s="1" t="s">
        <v>178</v>
      </c>
      <c r="C233" s="1">
        <v>2020</v>
      </c>
      <c r="D233" s="5">
        <v>48.28931</v>
      </c>
      <c r="E233" s="6">
        <v>619660</v>
      </c>
    </row>
    <row r="234" spans="1:5" x14ac:dyDescent="0.35">
      <c r="A234" t="s">
        <v>145</v>
      </c>
      <c r="B234" s="1" t="s">
        <v>179</v>
      </c>
      <c r="C234" s="1">
        <v>2010</v>
      </c>
      <c r="D234" s="5">
        <v>0</v>
      </c>
      <c r="E234" s="6">
        <v>0</v>
      </c>
    </row>
    <row r="235" spans="1:5" x14ac:dyDescent="0.35">
      <c r="A235" t="s">
        <v>145</v>
      </c>
      <c r="B235" s="1" t="s">
        <v>179</v>
      </c>
      <c r="C235" s="1">
        <v>2020</v>
      </c>
      <c r="D235" s="5">
        <v>0</v>
      </c>
      <c r="E235" s="6">
        <v>0</v>
      </c>
    </row>
    <row r="236" spans="1:5" x14ac:dyDescent="0.35">
      <c r="A236" t="s">
        <v>145</v>
      </c>
      <c r="B236" s="1" t="s">
        <v>180</v>
      </c>
      <c r="C236" s="1">
        <v>2010</v>
      </c>
      <c r="D236" s="5">
        <v>1.7665440000000001E-3</v>
      </c>
      <c r="E236" s="6">
        <v>2007</v>
      </c>
    </row>
    <row r="237" spans="1:5" x14ac:dyDescent="0.35">
      <c r="A237" t="s">
        <v>145</v>
      </c>
      <c r="B237" s="1" t="s">
        <v>180</v>
      </c>
      <c r="C237" s="1">
        <v>2020</v>
      </c>
      <c r="D237" s="5">
        <v>3.9171500000000003E-3</v>
      </c>
      <c r="E237" s="6">
        <v>4967</v>
      </c>
    </row>
    <row r="238" spans="1:5" x14ac:dyDescent="0.35">
      <c r="A238" t="s">
        <v>145</v>
      </c>
      <c r="B238" s="1" t="s">
        <v>181</v>
      </c>
      <c r="C238" s="1">
        <v>2010</v>
      </c>
      <c r="D238" s="5">
        <v>0</v>
      </c>
      <c r="E238" s="6">
        <v>0</v>
      </c>
    </row>
    <row r="239" spans="1:5" x14ac:dyDescent="0.35">
      <c r="A239" t="s">
        <v>145</v>
      </c>
      <c r="B239" s="1" t="s">
        <v>181</v>
      </c>
      <c r="C239" s="1">
        <v>2020</v>
      </c>
      <c r="D239" s="5">
        <v>0</v>
      </c>
      <c r="E239" s="6">
        <v>0</v>
      </c>
    </row>
    <row r="240" spans="1:5" x14ac:dyDescent="0.35">
      <c r="A240" t="s">
        <v>145</v>
      </c>
      <c r="B240" s="1" t="s">
        <v>182</v>
      </c>
      <c r="C240" s="1">
        <v>2010</v>
      </c>
      <c r="D240" s="5">
        <v>2.9602000000000001E-3</v>
      </c>
      <c r="E240" s="6">
        <v>80</v>
      </c>
    </row>
    <row r="241" spans="1:5" x14ac:dyDescent="0.35">
      <c r="A241" t="s">
        <v>145</v>
      </c>
      <c r="B241" s="1" t="s">
        <v>182</v>
      </c>
      <c r="C241" s="1">
        <v>2020</v>
      </c>
      <c r="D241" s="5">
        <v>3.035514E-3</v>
      </c>
      <c r="E241" s="6">
        <v>100</v>
      </c>
    </row>
    <row r="242" spans="1:5" x14ac:dyDescent="0.35">
      <c r="A242" t="s">
        <v>145</v>
      </c>
      <c r="B242" s="1" t="s">
        <v>183</v>
      </c>
      <c r="C242" s="1">
        <v>2010</v>
      </c>
      <c r="D242" s="5">
        <v>0</v>
      </c>
      <c r="E242" s="6">
        <v>0</v>
      </c>
    </row>
    <row r="243" spans="1:5" x14ac:dyDescent="0.35">
      <c r="A243" t="s">
        <v>145</v>
      </c>
      <c r="B243" s="1" t="s">
        <v>183</v>
      </c>
      <c r="C243" s="1">
        <v>2020</v>
      </c>
      <c r="D243" s="5">
        <v>0</v>
      </c>
      <c r="E243" s="6">
        <v>0</v>
      </c>
    </row>
    <row r="244" spans="1:5" x14ac:dyDescent="0.35">
      <c r="A244" t="s">
        <v>145</v>
      </c>
      <c r="B244" s="1" t="s">
        <v>184</v>
      </c>
      <c r="C244" s="1">
        <v>2010</v>
      </c>
      <c r="D244" s="5">
        <v>0</v>
      </c>
      <c r="E244" s="6">
        <v>0</v>
      </c>
    </row>
    <row r="245" spans="1:5" x14ac:dyDescent="0.35">
      <c r="A245" t="s">
        <v>145</v>
      </c>
      <c r="B245" s="1" t="s">
        <v>184</v>
      </c>
      <c r="C245" s="1">
        <v>2020</v>
      </c>
      <c r="D245" s="5">
        <v>0</v>
      </c>
      <c r="E245" s="6">
        <v>0</v>
      </c>
    </row>
    <row r="246" spans="1:5" x14ac:dyDescent="0.35">
      <c r="A246" t="s">
        <v>145</v>
      </c>
      <c r="B246" s="1" t="s">
        <v>185</v>
      </c>
      <c r="C246" s="1">
        <v>2010</v>
      </c>
      <c r="D246" s="5">
        <v>4.3339342000000003E-2</v>
      </c>
      <c r="E246" s="6">
        <v>9968</v>
      </c>
    </row>
    <row r="247" spans="1:5" x14ac:dyDescent="0.35">
      <c r="A247" t="s">
        <v>145</v>
      </c>
      <c r="B247" s="1" t="s">
        <v>185</v>
      </c>
      <c r="C247" s="1">
        <v>2020</v>
      </c>
      <c r="D247" s="5">
        <v>3.2073654E-2</v>
      </c>
      <c r="E247" s="6">
        <v>9873</v>
      </c>
    </row>
    <row r="248" spans="1:5" x14ac:dyDescent="0.35">
      <c r="A248" t="s">
        <v>145</v>
      </c>
      <c r="B248" s="1" t="s">
        <v>186</v>
      </c>
      <c r="C248" s="1">
        <v>2010</v>
      </c>
      <c r="D248" s="5">
        <v>0.57656014</v>
      </c>
      <c r="E248" s="6">
        <v>282655</v>
      </c>
    </row>
    <row r="249" spans="1:5" x14ac:dyDescent="0.35">
      <c r="A249" t="s">
        <v>145</v>
      </c>
      <c r="B249" s="1" t="s">
        <v>186</v>
      </c>
      <c r="C249" s="1">
        <v>2020</v>
      </c>
      <c r="D249" s="5">
        <v>0.43941437999999999</v>
      </c>
      <c r="E249" s="6">
        <v>232962</v>
      </c>
    </row>
    <row r="250" spans="1:5" x14ac:dyDescent="0.35">
      <c r="A250" t="s">
        <v>145</v>
      </c>
      <c r="B250" s="1" t="s">
        <v>187</v>
      </c>
      <c r="C250" s="1">
        <v>2010</v>
      </c>
      <c r="D250" s="5">
        <v>5.7162712999999997E-2</v>
      </c>
      <c r="E250" s="6">
        <v>1206</v>
      </c>
    </row>
    <row r="251" spans="1:5" x14ac:dyDescent="0.35">
      <c r="A251" t="s">
        <v>145</v>
      </c>
      <c r="B251" s="1" t="s">
        <v>187</v>
      </c>
      <c r="C251" s="1">
        <v>2020</v>
      </c>
      <c r="D251" s="5">
        <v>5.2227754000000001E-2</v>
      </c>
      <c r="E251" s="6">
        <v>1425</v>
      </c>
    </row>
    <row r="252" spans="1:5" x14ac:dyDescent="0.35">
      <c r="A252" t="s">
        <v>145</v>
      </c>
      <c r="B252" s="1" t="s">
        <v>188</v>
      </c>
      <c r="C252" s="1">
        <v>2010</v>
      </c>
      <c r="D252" s="5">
        <v>81.522940000000006</v>
      </c>
      <c r="E252" s="6">
        <v>22289965</v>
      </c>
    </row>
    <row r="253" spans="1:5" x14ac:dyDescent="0.35">
      <c r="A253" t="s">
        <v>145</v>
      </c>
      <c r="B253" s="1" t="s">
        <v>188</v>
      </c>
      <c r="C253" s="1">
        <v>2020</v>
      </c>
      <c r="D253" s="5">
        <v>81.184010000000001</v>
      </c>
      <c r="E253" s="6">
        <v>23516227</v>
      </c>
    </row>
    <row r="254" spans="1:5" x14ac:dyDescent="0.35">
      <c r="A254" t="s">
        <v>145</v>
      </c>
      <c r="B254" s="1" t="s">
        <v>189</v>
      </c>
      <c r="C254" s="1">
        <v>2010</v>
      </c>
      <c r="D254" s="5">
        <v>0.49569570000000002</v>
      </c>
      <c r="E254" s="6">
        <v>83134</v>
      </c>
    </row>
    <row r="255" spans="1:5" x14ac:dyDescent="0.35">
      <c r="A255" t="s">
        <v>145</v>
      </c>
      <c r="B255" s="1" t="s">
        <v>189</v>
      </c>
      <c r="C255" s="1">
        <v>2020</v>
      </c>
      <c r="D255" s="5">
        <v>0.56280830000000004</v>
      </c>
      <c r="E255" s="6">
        <v>99261</v>
      </c>
    </row>
    <row r="256" spans="1:5" x14ac:dyDescent="0.35">
      <c r="A256" t="s">
        <v>145</v>
      </c>
      <c r="B256" s="1" t="s">
        <v>190</v>
      </c>
      <c r="C256" s="1">
        <v>2010</v>
      </c>
      <c r="D256" s="5">
        <v>0</v>
      </c>
      <c r="E256" s="6">
        <v>0</v>
      </c>
    </row>
    <row r="257" spans="1:5" x14ac:dyDescent="0.35">
      <c r="A257" t="s">
        <v>145</v>
      </c>
      <c r="B257" s="1" t="s">
        <v>190</v>
      </c>
      <c r="C257" s="1">
        <v>2020</v>
      </c>
      <c r="D257" s="5">
        <v>0</v>
      </c>
      <c r="E257" s="6">
        <v>0</v>
      </c>
    </row>
    <row r="258" spans="1:5" x14ac:dyDescent="0.35">
      <c r="A258" t="s">
        <v>145</v>
      </c>
      <c r="B258" s="1" t="s">
        <v>191</v>
      </c>
      <c r="C258" s="1">
        <v>2010</v>
      </c>
      <c r="D258" s="5">
        <v>2.3355844000000001</v>
      </c>
      <c r="E258" s="6">
        <v>101546</v>
      </c>
    </row>
    <row r="259" spans="1:5" x14ac:dyDescent="0.35">
      <c r="A259" t="s">
        <v>145</v>
      </c>
      <c r="B259" s="1" t="s">
        <v>191</v>
      </c>
      <c r="C259" s="1">
        <v>2020</v>
      </c>
      <c r="D259" s="5">
        <v>2.7886760000000002</v>
      </c>
      <c r="E259" s="6">
        <v>141383</v>
      </c>
    </row>
    <row r="260" spans="1:5" x14ac:dyDescent="0.35">
      <c r="A260" t="s">
        <v>145</v>
      </c>
      <c r="B260" s="1" t="s">
        <v>192</v>
      </c>
      <c r="C260" s="1">
        <v>2010</v>
      </c>
      <c r="D260" s="5">
        <v>0</v>
      </c>
      <c r="E260" s="6">
        <v>0</v>
      </c>
    </row>
    <row r="261" spans="1:5" x14ac:dyDescent="0.35">
      <c r="A261" t="s">
        <v>145</v>
      </c>
      <c r="B261" s="1" t="s">
        <v>192</v>
      </c>
      <c r="C261" s="1">
        <v>2020</v>
      </c>
      <c r="D261" s="5">
        <v>0</v>
      </c>
      <c r="E261" s="6">
        <v>0</v>
      </c>
    </row>
    <row r="262" spans="1:5" x14ac:dyDescent="0.35">
      <c r="A262" t="s">
        <v>145</v>
      </c>
      <c r="B262" s="1" t="s">
        <v>193</v>
      </c>
      <c r="C262" s="1">
        <v>2010</v>
      </c>
      <c r="D262" s="5">
        <v>0</v>
      </c>
      <c r="E262" s="6">
        <v>0</v>
      </c>
    </row>
    <row r="263" spans="1:5" x14ac:dyDescent="0.35">
      <c r="A263" t="s">
        <v>145</v>
      </c>
      <c r="B263" s="1" t="s">
        <v>193</v>
      </c>
      <c r="C263" s="1">
        <v>2020</v>
      </c>
      <c r="D263" s="5">
        <v>0</v>
      </c>
      <c r="E263" s="6">
        <v>0</v>
      </c>
    </row>
    <row r="264" spans="1:5" x14ac:dyDescent="0.35">
      <c r="A264" t="s">
        <v>145</v>
      </c>
      <c r="B264" s="1" t="s">
        <v>194</v>
      </c>
      <c r="C264" s="1">
        <v>2010</v>
      </c>
      <c r="D264" s="5">
        <v>1.8639000000000001E-4</v>
      </c>
      <c r="E264" s="6">
        <v>311</v>
      </c>
    </row>
    <row r="265" spans="1:5" x14ac:dyDescent="0.35">
      <c r="A265" t="s">
        <v>145</v>
      </c>
      <c r="B265" s="1" t="s">
        <v>194</v>
      </c>
      <c r="C265" s="1">
        <v>2020</v>
      </c>
      <c r="D265" s="5">
        <v>1.4400400000000001E-4</v>
      </c>
      <c r="E265" s="6">
        <v>308</v>
      </c>
    </row>
    <row r="266" spans="1:5" x14ac:dyDescent="0.35">
      <c r="A266" t="s">
        <v>145</v>
      </c>
      <c r="B266" s="1" t="s">
        <v>195</v>
      </c>
      <c r="C266" s="1">
        <v>2010</v>
      </c>
      <c r="D266" s="5">
        <v>1.458291E-3</v>
      </c>
      <c r="E266" s="6">
        <v>364</v>
      </c>
    </row>
    <row r="267" spans="1:5" x14ac:dyDescent="0.35">
      <c r="A267" t="s">
        <v>145</v>
      </c>
      <c r="B267" s="1" t="s">
        <v>195</v>
      </c>
      <c r="C267" s="1">
        <v>2020</v>
      </c>
      <c r="D267" s="5">
        <v>1.585003E-3</v>
      </c>
      <c r="E267" s="6">
        <v>414</v>
      </c>
    </row>
    <row r="268" spans="1:5" x14ac:dyDescent="0.35">
      <c r="A268" t="s">
        <v>145</v>
      </c>
      <c r="B268" s="1" t="s">
        <v>196</v>
      </c>
      <c r="C268" s="1">
        <v>2010</v>
      </c>
      <c r="D268" s="5">
        <v>0</v>
      </c>
      <c r="E268" s="6">
        <v>0</v>
      </c>
    </row>
    <row r="269" spans="1:5" x14ac:dyDescent="0.35">
      <c r="A269" t="s">
        <v>145</v>
      </c>
      <c r="B269" s="1" t="s">
        <v>196</v>
      </c>
      <c r="C269" s="1">
        <v>2020</v>
      </c>
      <c r="D269" s="5">
        <v>0</v>
      </c>
      <c r="E269" s="6">
        <v>0</v>
      </c>
    </row>
    <row r="270" spans="1:5" x14ac:dyDescent="0.35">
      <c r="A270" t="s">
        <v>145</v>
      </c>
      <c r="B270" s="1" t="s">
        <v>197</v>
      </c>
      <c r="C270" s="1">
        <v>2010</v>
      </c>
      <c r="D270" s="5">
        <v>0.15297334000000001</v>
      </c>
      <c r="E270" s="6">
        <v>7479</v>
      </c>
    </row>
    <row r="271" spans="1:5" x14ac:dyDescent="0.35">
      <c r="A271" t="s">
        <v>145</v>
      </c>
      <c r="B271" s="1" t="s">
        <v>197</v>
      </c>
      <c r="C271" s="1">
        <v>2020</v>
      </c>
      <c r="D271" s="5">
        <v>0.23049017999999999</v>
      </c>
      <c r="E271" s="6">
        <v>12399</v>
      </c>
    </row>
    <row r="272" spans="1:5" x14ac:dyDescent="0.35">
      <c r="A272" t="s">
        <v>145</v>
      </c>
      <c r="B272" s="1" t="s">
        <v>198</v>
      </c>
      <c r="C272" s="1">
        <v>2010</v>
      </c>
      <c r="D272" s="5">
        <v>5.1689277000000002</v>
      </c>
      <c r="E272" s="6">
        <v>142530</v>
      </c>
    </row>
    <row r="273" spans="1:5" x14ac:dyDescent="0.35">
      <c r="A273" t="s">
        <v>145</v>
      </c>
      <c r="B273" s="1" t="s">
        <v>198</v>
      </c>
      <c r="C273" s="1">
        <v>2020</v>
      </c>
      <c r="D273" s="5">
        <v>9.5314169999999994</v>
      </c>
      <c r="E273" s="6">
        <v>431058</v>
      </c>
    </row>
    <row r="274" spans="1:5" x14ac:dyDescent="0.35">
      <c r="A274" t="s">
        <v>145</v>
      </c>
      <c r="B274" s="1" t="s">
        <v>199</v>
      </c>
      <c r="C274" s="1">
        <v>2010</v>
      </c>
      <c r="D274" s="5">
        <v>1.7630821000000001</v>
      </c>
      <c r="E274" s="6">
        <v>3512748</v>
      </c>
    </row>
    <row r="275" spans="1:5" x14ac:dyDescent="0.35">
      <c r="A275" t="s">
        <v>145</v>
      </c>
      <c r="B275" s="1" t="s">
        <v>199</v>
      </c>
      <c r="C275" s="1">
        <v>2020</v>
      </c>
      <c r="D275" s="5">
        <v>2.1397018000000001</v>
      </c>
      <c r="E275" s="6">
        <v>5028337</v>
      </c>
    </row>
    <row r="276" spans="1:5" x14ac:dyDescent="0.35">
      <c r="A276" t="s">
        <v>145</v>
      </c>
      <c r="B276" s="1" t="s">
        <v>200</v>
      </c>
      <c r="C276" s="1">
        <v>2010</v>
      </c>
      <c r="D276" s="5">
        <v>0</v>
      </c>
      <c r="E276" s="6">
        <v>0</v>
      </c>
    </row>
    <row r="277" spans="1:5" x14ac:dyDescent="0.35">
      <c r="A277" t="s">
        <v>145</v>
      </c>
      <c r="B277" s="1" t="s">
        <v>200</v>
      </c>
      <c r="C277" s="1">
        <v>2020</v>
      </c>
      <c r="D277" s="5">
        <v>0</v>
      </c>
      <c r="E277" s="6">
        <v>0</v>
      </c>
    </row>
    <row r="278" spans="1:5" x14ac:dyDescent="0.35">
      <c r="A278" t="s">
        <v>145</v>
      </c>
      <c r="B278" s="1" t="s">
        <v>201</v>
      </c>
      <c r="C278" s="1">
        <v>2010</v>
      </c>
      <c r="D278" s="5">
        <v>7.8822390000000006E-2</v>
      </c>
      <c r="E278" s="6">
        <v>2860</v>
      </c>
    </row>
    <row r="279" spans="1:5" x14ac:dyDescent="0.35">
      <c r="A279" t="s">
        <v>145</v>
      </c>
      <c r="B279" s="1" t="s">
        <v>201</v>
      </c>
      <c r="C279" s="1">
        <v>2020</v>
      </c>
      <c r="D279" s="5">
        <v>9.3144630000000006E-2</v>
      </c>
      <c r="E279" s="6">
        <v>3999</v>
      </c>
    </row>
    <row r="280" spans="1:5" x14ac:dyDescent="0.35">
      <c r="A280" t="s">
        <v>145</v>
      </c>
      <c r="B280" s="1" t="s">
        <v>202</v>
      </c>
      <c r="C280" s="1">
        <v>2010</v>
      </c>
      <c r="D280" s="5">
        <v>2.7692540000000001E-3</v>
      </c>
      <c r="E280" s="6">
        <v>211</v>
      </c>
    </row>
    <row r="281" spans="1:5" x14ac:dyDescent="0.35">
      <c r="A281" t="s">
        <v>145</v>
      </c>
      <c r="B281" s="1" t="s">
        <v>202</v>
      </c>
      <c r="C281" s="1">
        <v>2020</v>
      </c>
      <c r="D281" s="5">
        <v>2.2564939999999999E-3</v>
      </c>
      <c r="E281" s="6">
        <v>221</v>
      </c>
    </row>
    <row r="282" spans="1:5" x14ac:dyDescent="0.35">
      <c r="A282" t="s">
        <v>145</v>
      </c>
      <c r="B282" s="1" t="s">
        <v>203</v>
      </c>
      <c r="C282" s="1">
        <v>2010</v>
      </c>
      <c r="D282" s="5">
        <v>0</v>
      </c>
      <c r="E282" s="6">
        <v>0</v>
      </c>
    </row>
    <row r="283" spans="1:5" x14ac:dyDescent="0.35">
      <c r="A283" t="s">
        <v>145</v>
      </c>
      <c r="B283" s="1" t="s">
        <v>203</v>
      </c>
      <c r="C283" s="1">
        <v>2020</v>
      </c>
      <c r="D283" s="5">
        <v>0</v>
      </c>
      <c r="E283" s="6">
        <v>0</v>
      </c>
    </row>
    <row r="284" spans="1:5" x14ac:dyDescent="0.35">
      <c r="A284" t="s">
        <v>145</v>
      </c>
      <c r="B284" s="1" t="s">
        <v>204</v>
      </c>
      <c r="C284" s="1">
        <v>2010</v>
      </c>
      <c r="D284" s="5">
        <v>2.5658949999999999E-3</v>
      </c>
      <c r="E284" s="6">
        <v>746</v>
      </c>
    </row>
    <row r="285" spans="1:5" x14ac:dyDescent="0.35">
      <c r="A285" t="s">
        <v>145</v>
      </c>
      <c r="B285" s="1" t="s">
        <v>204</v>
      </c>
      <c r="C285" s="1">
        <v>2020</v>
      </c>
      <c r="D285" s="5">
        <v>9.488135E-3</v>
      </c>
      <c r="E285" s="6">
        <v>3116</v>
      </c>
    </row>
    <row r="286" spans="1:5" x14ac:dyDescent="0.35">
      <c r="A286" t="s">
        <v>145</v>
      </c>
      <c r="B286" s="1" t="s">
        <v>205</v>
      </c>
      <c r="C286" s="1">
        <v>2010</v>
      </c>
      <c r="D286" s="5">
        <v>1.2830560000000001E-3</v>
      </c>
      <c r="E286" s="6">
        <v>1236</v>
      </c>
    </row>
    <row r="287" spans="1:5" x14ac:dyDescent="0.35">
      <c r="A287" t="s">
        <v>145</v>
      </c>
      <c r="B287" s="1" t="s">
        <v>205</v>
      </c>
      <c r="C287" s="1">
        <v>2020</v>
      </c>
      <c r="D287" s="5">
        <v>1.3286470000000001E-3</v>
      </c>
      <c r="E287" s="6">
        <v>1489</v>
      </c>
    </row>
    <row r="288" spans="1:5" x14ac:dyDescent="0.35">
      <c r="A288" t="s">
        <v>145</v>
      </c>
      <c r="B288" s="1" t="s">
        <v>206</v>
      </c>
      <c r="C288" s="1">
        <v>2010</v>
      </c>
      <c r="D288" s="5">
        <v>4.1453619999999997E-3</v>
      </c>
      <c r="E288" s="6">
        <v>1579</v>
      </c>
    </row>
    <row r="289" spans="1:5" x14ac:dyDescent="0.35">
      <c r="A289" t="s">
        <v>145</v>
      </c>
      <c r="B289" s="1" t="s">
        <v>206</v>
      </c>
      <c r="C289" s="1">
        <v>2020</v>
      </c>
      <c r="D289" s="5">
        <v>5.2044889999999996E-3</v>
      </c>
      <c r="E289" s="6">
        <v>1987</v>
      </c>
    </row>
    <row r="290" spans="1:5" x14ac:dyDescent="0.35">
      <c r="A290" t="s">
        <v>145</v>
      </c>
      <c r="B290" s="1" t="s">
        <v>207</v>
      </c>
      <c r="C290" s="1">
        <v>2010</v>
      </c>
      <c r="D290" s="5">
        <v>0.18888593000000001</v>
      </c>
      <c r="E290" s="6">
        <v>19982</v>
      </c>
    </row>
    <row r="291" spans="1:5" x14ac:dyDescent="0.35">
      <c r="A291" t="s">
        <v>145</v>
      </c>
      <c r="B291" s="1" t="s">
        <v>207</v>
      </c>
      <c r="C291" s="1">
        <v>2020</v>
      </c>
      <c r="D291" s="5">
        <v>0.21903437000000001</v>
      </c>
      <c r="E291" s="6">
        <v>22715</v>
      </c>
    </row>
    <row r="292" spans="1:5" x14ac:dyDescent="0.35">
      <c r="A292" t="s">
        <v>145</v>
      </c>
      <c r="B292" s="1" t="s">
        <v>208</v>
      </c>
      <c r="C292" s="1">
        <v>2010</v>
      </c>
      <c r="D292" s="5">
        <v>0.12347127500000001</v>
      </c>
      <c r="E292" s="6">
        <v>4587</v>
      </c>
    </row>
    <row r="293" spans="1:5" x14ac:dyDescent="0.35">
      <c r="A293" t="s">
        <v>145</v>
      </c>
      <c r="B293" s="1" t="s">
        <v>208</v>
      </c>
      <c r="C293" s="1">
        <v>2020</v>
      </c>
      <c r="D293" s="5">
        <v>0.117986366</v>
      </c>
      <c r="E293" s="6">
        <v>3865</v>
      </c>
    </row>
    <row r="294" spans="1:5" x14ac:dyDescent="0.35">
      <c r="A294" t="s">
        <v>145</v>
      </c>
      <c r="B294" s="1" t="s">
        <v>209</v>
      </c>
      <c r="C294" s="1">
        <v>2010</v>
      </c>
      <c r="D294" s="5">
        <v>11.090465</v>
      </c>
      <c r="E294" s="6">
        <v>189561</v>
      </c>
    </row>
    <row r="295" spans="1:5" x14ac:dyDescent="0.35">
      <c r="A295" t="s">
        <v>145</v>
      </c>
      <c r="B295" s="1" t="s">
        <v>209</v>
      </c>
      <c r="C295" s="1">
        <v>2020</v>
      </c>
      <c r="D295" s="5">
        <v>10.629536</v>
      </c>
      <c r="E295" s="6">
        <v>297986</v>
      </c>
    </row>
    <row r="296" spans="1:5" x14ac:dyDescent="0.35">
      <c r="A296" t="s">
        <v>145</v>
      </c>
      <c r="B296" s="1" t="s">
        <v>210</v>
      </c>
      <c r="C296" s="1">
        <v>2010</v>
      </c>
      <c r="D296" s="5">
        <v>4.5961537000000003</v>
      </c>
      <c r="E296" s="6">
        <v>38813</v>
      </c>
    </row>
    <row r="297" spans="1:5" x14ac:dyDescent="0.35">
      <c r="A297" t="s">
        <v>145</v>
      </c>
      <c r="B297" s="1" t="s">
        <v>210</v>
      </c>
      <c r="C297" s="1">
        <v>2020</v>
      </c>
      <c r="D297" s="5">
        <v>4.5099564000000001</v>
      </c>
      <c r="E297" s="6">
        <v>38851</v>
      </c>
    </row>
    <row r="298" spans="1:5" x14ac:dyDescent="0.35">
      <c r="A298" t="s">
        <v>145</v>
      </c>
      <c r="B298" s="1" t="s">
        <v>211</v>
      </c>
      <c r="C298" s="1">
        <v>2010</v>
      </c>
      <c r="D298" s="5">
        <v>1.721153E-3</v>
      </c>
      <c r="E298" s="6">
        <v>352</v>
      </c>
    </row>
    <row r="299" spans="1:5" x14ac:dyDescent="0.35">
      <c r="A299" t="s">
        <v>145</v>
      </c>
      <c r="B299" s="1" t="s">
        <v>211</v>
      </c>
      <c r="C299" s="1">
        <v>2020</v>
      </c>
      <c r="D299" s="5">
        <v>1.9956755E-2</v>
      </c>
      <c r="E299" s="6">
        <v>3870</v>
      </c>
    </row>
    <row r="300" spans="1:5" x14ac:dyDescent="0.35">
      <c r="A300" t="s">
        <v>145</v>
      </c>
      <c r="B300" s="1" t="s">
        <v>212</v>
      </c>
      <c r="C300" s="1">
        <v>2010</v>
      </c>
      <c r="D300" s="5">
        <v>7.2866249999999994E-2</v>
      </c>
      <c r="E300" s="6">
        <v>104880</v>
      </c>
    </row>
    <row r="301" spans="1:5" x14ac:dyDescent="0.35">
      <c r="A301" t="s">
        <v>145</v>
      </c>
      <c r="B301" s="1" t="s">
        <v>212</v>
      </c>
      <c r="C301" s="1">
        <v>2020</v>
      </c>
      <c r="D301" s="5">
        <v>7.1238369999999995E-2</v>
      </c>
      <c r="E301" s="6">
        <v>104273</v>
      </c>
    </row>
    <row r="302" spans="1:5" x14ac:dyDescent="0.35">
      <c r="A302" t="s">
        <v>145</v>
      </c>
      <c r="B302" s="1" t="s">
        <v>213</v>
      </c>
      <c r="C302" s="1">
        <v>2010</v>
      </c>
      <c r="D302" s="5">
        <v>4.8501170000000001E-3</v>
      </c>
      <c r="E302" s="6">
        <v>500</v>
      </c>
    </row>
    <row r="303" spans="1:5" x14ac:dyDescent="0.35">
      <c r="A303" t="s">
        <v>145</v>
      </c>
      <c r="B303" s="1" t="s">
        <v>213</v>
      </c>
      <c r="C303" s="1">
        <v>2020</v>
      </c>
      <c r="D303" s="5">
        <v>3.8033339999999998E-3</v>
      </c>
      <c r="E303" s="6">
        <v>497</v>
      </c>
    </row>
    <row r="304" spans="1:5" x14ac:dyDescent="0.35">
      <c r="A304" t="s">
        <v>145</v>
      </c>
      <c r="B304" s="1" t="s">
        <v>214</v>
      </c>
      <c r="C304" s="1">
        <v>2010</v>
      </c>
      <c r="D304" s="5">
        <v>0.30669203</v>
      </c>
      <c r="E304" s="6">
        <v>524</v>
      </c>
    </row>
    <row r="305" spans="1:5" x14ac:dyDescent="0.35">
      <c r="A305" t="s">
        <v>145</v>
      </c>
      <c r="B305" s="1" t="s">
        <v>214</v>
      </c>
      <c r="C305" s="1">
        <v>2020</v>
      </c>
      <c r="D305" s="5">
        <v>0.31132655999999997</v>
      </c>
      <c r="E305" s="6">
        <v>555</v>
      </c>
    </row>
    <row r="306" spans="1:5" x14ac:dyDescent="0.35">
      <c r="A306" t="s">
        <v>145</v>
      </c>
      <c r="B306" s="1" t="s">
        <v>215</v>
      </c>
      <c r="C306" s="1">
        <v>2010</v>
      </c>
      <c r="D306" s="5">
        <v>8.5553266000000003E-2</v>
      </c>
      <c r="E306" s="6">
        <v>94</v>
      </c>
    </row>
    <row r="307" spans="1:5" x14ac:dyDescent="0.35">
      <c r="A307" t="s">
        <v>145</v>
      </c>
      <c r="B307" s="1" t="s">
        <v>215</v>
      </c>
      <c r="C307" s="1">
        <v>2020</v>
      </c>
      <c r="D307" s="5">
        <v>8.5542939999999998E-2</v>
      </c>
      <c r="E307" s="6">
        <v>89</v>
      </c>
    </row>
    <row r="308" spans="1:5" x14ac:dyDescent="0.35">
      <c r="A308" t="s">
        <v>145</v>
      </c>
      <c r="B308" s="1" t="s">
        <v>216</v>
      </c>
      <c r="C308" s="1">
        <v>2010</v>
      </c>
      <c r="D308" s="5">
        <v>5.1368587E-2</v>
      </c>
      <c r="E308" s="6">
        <v>99</v>
      </c>
    </row>
    <row r="309" spans="1:5" x14ac:dyDescent="0.35">
      <c r="A309" t="s">
        <v>145</v>
      </c>
      <c r="B309" s="1" t="s">
        <v>216</v>
      </c>
      <c r="C309" s="1">
        <v>2020</v>
      </c>
      <c r="D309" s="5">
        <v>3.7221506000000001E-2</v>
      </c>
      <c r="E309" s="6">
        <v>79</v>
      </c>
    </row>
    <row r="310" spans="1:5" x14ac:dyDescent="0.35">
      <c r="A310" t="s">
        <v>145</v>
      </c>
      <c r="B310" s="1" t="s">
        <v>217</v>
      </c>
      <c r="C310" s="1">
        <v>2010</v>
      </c>
      <c r="D310" s="5">
        <v>0</v>
      </c>
      <c r="E310" s="6">
        <v>0</v>
      </c>
    </row>
    <row r="311" spans="1:5" x14ac:dyDescent="0.35">
      <c r="A311" t="s">
        <v>145</v>
      </c>
      <c r="B311" s="1" t="s">
        <v>217</v>
      </c>
      <c r="C311" s="1">
        <v>2020</v>
      </c>
      <c r="D311" s="5">
        <v>0</v>
      </c>
      <c r="E311" s="6">
        <v>0</v>
      </c>
    </row>
    <row r="312" spans="1:5" x14ac:dyDescent="0.35">
      <c r="A312" t="s">
        <v>145</v>
      </c>
      <c r="B312" s="1" t="s">
        <v>218</v>
      </c>
      <c r="C312" s="1">
        <v>2010</v>
      </c>
      <c r="D312" s="5">
        <v>2.0057580000000002</v>
      </c>
      <c r="E312" s="6">
        <v>504591</v>
      </c>
    </row>
    <row r="313" spans="1:5" x14ac:dyDescent="0.35">
      <c r="A313" t="s">
        <v>145</v>
      </c>
      <c r="B313" s="1" t="s">
        <v>218</v>
      </c>
      <c r="C313" s="1">
        <v>2020</v>
      </c>
      <c r="D313" s="5">
        <v>2.6221166</v>
      </c>
      <c r="E313" s="6">
        <v>812626</v>
      </c>
    </row>
    <row r="314" spans="1:5" x14ac:dyDescent="0.35">
      <c r="A314" t="s">
        <v>145</v>
      </c>
      <c r="B314" s="1" t="s">
        <v>219</v>
      </c>
      <c r="C314" s="1">
        <v>2010</v>
      </c>
      <c r="D314" s="5">
        <v>0</v>
      </c>
      <c r="E314" s="6">
        <v>0</v>
      </c>
    </row>
    <row r="315" spans="1:5" x14ac:dyDescent="0.35">
      <c r="A315" t="s">
        <v>145</v>
      </c>
      <c r="B315" s="1" t="s">
        <v>219</v>
      </c>
      <c r="C315" s="1">
        <v>2020</v>
      </c>
      <c r="D315" s="5">
        <v>0</v>
      </c>
      <c r="E315" s="6">
        <v>0</v>
      </c>
    </row>
    <row r="316" spans="1:5" x14ac:dyDescent="0.35">
      <c r="A316" t="s">
        <v>145</v>
      </c>
      <c r="B316" s="1" t="s">
        <v>220</v>
      </c>
      <c r="C316" s="1">
        <v>2010</v>
      </c>
      <c r="D316" s="5">
        <v>3.3970279999999999E-3</v>
      </c>
      <c r="E316" s="6">
        <v>251</v>
      </c>
    </row>
    <row r="317" spans="1:5" x14ac:dyDescent="0.35">
      <c r="A317" t="s">
        <v>145</v>
      </c>
      <c r="B317" s="1" t="s">
        <v>220</v>
      </c>
      <c r="C317" s="1">
        <v>2020</v>
      </c>
      <c r="D317" s="5">
        <v>3.533567E-3</v>
      </c>
      <c r="E317" s="6">
        <v>244</v>
      </c>
    </row>
    <row r="318" spans="1:5" x14ac:dyDescent="0.35">
      <c r="A318" t="s">
        <v>145</v>
      </c>
      <c r="B318" s="1" t="s">
        <v>221</v>
      </c>
      <c r="C318" s="1">
        <v>2010</v>
      </c>
      <c r="D318" s="5">
        <v>1.4604812</v>
      </c>
      <c r="E318" s="6">
        <v>1387</v>
      </c>
    </row>
    <row r="319" spans="1:5" x14ac:dyDescent="0.35">
      <c r="A319" t="s">
        <v>145</v>
      </c>
      <c r="B319" s="1" t="s">
        <v>221</v>
      </c>
      <c r="C319" s="1">
        <v>2020</v>
      </c>
      <c r="D319" s="5">
        <v>1.4491702</v>
      </c>
      <c r="E319" s="6">
        <v>1743</v>
      </c>
    </row>
    <row r="320" spans="1:5" x14ac:dyDescent="0.35">
      <c r="A320" t="s">
        <v>145</v>
      </c>
      <c r="B320" s="1" t="s">
        <v>222</v>
      </c>
      <c r="C320" s="1">
        <v>2010</v>
      </c>
      <c r="D320" s="5">
        <v>6.2143659999999998E-3</v>
      </c>
      <c r="E320" s="6">
        <v>387</v>
      </c>
    </row>
    <row r="321" spans="1:5" x14ac:dyDescent="0.35">
      <c r="A321" t="s">
        <v>145</v>
      </c>
      <c r="B321" s="1" t="s">
        <v>222</v>
      </c>
      <c r="C321" s="1">
        <v>2020</v>
      </c>
      <c r="D321" s="5">
        <v>9.7158479999999992E-3</v>
      </c>
      <c r="E321" s="6">
        <v>769</v>
      </c>
    </row>
    <row r="322" spans="1:5" x14ac:dyDescent="0.35">
      <c r="A322" t="s">
        <v>145</v>
      </c>
      <c r="B322" s="1" t="s">
        <v>223</v>
      </c>
      <c r="C322" s="1">
        <v>2010</v>
      </c>
      <c r="D322" s="5">
        <v>5.3785020000000001</v>
      </c>
      <c r="E322" s="6">
        <v>273067</v>
      </c>
    </row>
    <row r="323" spans="1:5" x14ac:dyDescent="0.35">
      <c r="A323" t="s">
        <v>145</v>
      </c>
      <c r="B323" s="1" t="s">
        <v>223</v>
      </c>
      <c r="C323" s="1">
        <v>2020</v>
      </c>
      <c r="D323" s="5">
        <v>5.2946</v>
      </c>
      <c r="E323" s="6">
        <v>297565</v>
      </c>
    </row>
    <row r="324" spans="1:5" x14ac:dyDescent="0.35">
      <c r="A324" t="s">
        <v>145</v>
      </c>
      <c r="B324" s="1" t="s">
        <v>224</v>
      </c>
      <c r="C324" s="1">
        <v>2010</v>
      </c>
      <c r="D324" s="5">
        <v>5.3175280000000002E-3</v>
      </c>
      <c r="E324" s="6">
        <v>287</v>
      </c>
    </row>
    <row r="325" spans="1:5" x14ac:dyDescent="0.35">
      <c r="A325" t="s">
        <v>145</v>
      </c>
      <c r="B325" s="1" t="s">
        <v>224</v>
      </c>
      <c r="C325" s="1">
        <v>2020</v>
      </c>
      <c r="D325" s="5">
        <v>1.7808132000000001E-2</v>
      </c>
      <c r="E325" s="6">
        <v>971</v>
      </c>
    </row>
    <row r="326" spans="1:5" x14ac:dyDescent="0.35">
      <c r="A326" t="s">
        <v>145</v>
      </c>
      <c r="B326" s="1" t="s">
        <v>225</v>
      </c>
      <c r="C326" s="1">
        <v>2010</v>
      </c>
      <c r="D326" s="5">
        <v>0.10073227999999999</v>
      </c>
      <c r="E326" s="6">
        <v>2060</v>
      </c>
    </row>
    <row r="327" spans="1:5" x14ac:dyDescent="0.35">
      <c r="A327" t="s">
        <v>145</v>
      </c>
      <c r="B327" s="1" t="s">
        <v>225</v>
      </c>
      <c r="C327" s="1">
        <v>2020</v>
      </c>
      <c r="D327" s="5">
        <v>1.0602367999999999E-2</v>
      </c>
      <c r="E327" s="6">
        <v>223</v>
      </c>
    </row>
    <row r="328" spans="1:5" x14ac:dyDescent="0.35">
      <c r="A328" t="s">
        <v>145</v>
      </c>
      <c r="B328" s="1" t="s">
        <v>226</v>
      </c>
      <c r="C328" s="1">
        <v>2010</v>
      </c>
      <c r="D328" s="5">
        <v>9.252517E-3</v>
      </c>
      <c r="E328" s="6">
        <v>49</v>
      </c>
    </row>
    <row r="329" spans="1:5" x14ac:dyDescent="0.35">
      <c r="A329" t="s">
        <v>145</v>
      </c>
      <c r="B329" s="1" t="s">
        <v>226</v>
      </c>
      <c r="C329" s="1">
        <v>2020</v>
      </c>
      <c r="D329" s="5">
        <v>7.2338960000000001E-3</v>
      </c>
      <c r="E329" s="6">
        <v>54</v>
      </c>
    </row>
    <row r="330" spans="1:5" x14ac:dyDescent="0.35">
      <c r="A330" t="s">
        <v>145</v>
      </c>
      <c r="B330" s="1" t="s">
        <v>227</v>
      </c>
      <c r="C330" s="1">
        <v>2010</v>
      </c>
      <c r="D330" s="5">
        <v>4.6939503E-2</v>
      </c>
      <c r="E330" s="6">
        <v>5756</v>
      </c>
    </row>
    <row r="331" spans="1:5" x14ac:dyDescent="0.35">
      <c r="A331" t="s">
        <v>145</v>
      </c>
      <c r="B331" s="1" t="s">
        <v>227</v>
      </c>
      <c r="C331" s="1">
        <v>2020</v>
      </c>
      <c r="D331" s="5">
        <v>3.9998192000000002E-2</v>
      </c>
      <c r="E331" s="6">
        <v>6660</v>
      </c>
    </row>
    <row r="332" spans="1:5" x14ac:dyDescent="0.35">
      <c r="A332" t="s">
        <v>145</v>
      </c>
      <c r="B332" s="1" t="s">
        <v>228</v>
      </c>
      <c r="C332" s="1">
        <v>2010</v>
      </c>
      <c r="D332" s="5">
        <v>1.0357026</v>
      </c>
      <c r="E332" s="6">
        <v>542129</v>
      </c>
    </row>
    <row r="333" spans="1:5" x14ac:dyDescent="0.35">
      <c r="A333" t="s">
        <v>145</v>
      </c>
      <c r="B333" s="1" t="s">
        <v>228</v>
      </c>
      <c r="C333" s="1">
        <v>2020</v>
      </c>
      <c r="D333" s="5">
        <v>1.0650073</v>
      </c>
      <c r="E333" s="6">
        <v>644994</v>
      </c>
    </row>
    <row r="334" spans="1:5" x14ac:dyDescent="0.35">
      <c r="A334" t="s">
        <v>145</v>
      </c>
      <c r="B334" s="1" t="s">
        <v>229</v>
      </c>
      <c r="C334" s="1">
        <v>2010</v>
      </c>
      <c r="D334" s="5">
        <v>3.1610403000000002E-2</v>
      </c>
      <c r="E334" s="6">
        <v>15416</v>
      </c>
    </row>
    <row r="335" spans="1:5" x14ac:dyDescent="0.35">
      <c r="A335" t="s">
        <v>145</v>
      </c>
      <c r="B335" s="1" t="s">
        <v>229</v>
      </c>
      <c r="C335" s="1">
        <v>2020</v>
      </c>
      <c r="D335" s="5">
        <v>9.1812679999999994E-2</v>
      </c>
      <c r="E335" s="6">
        <v>47613</v>
      </c>
    </row>
    <row r="336" spans="1:5" x14ac:dyDescent="0.35">
      <c r="A336" t="s">
        <v>145</v>
      </c>
      <c r="B336" s="1" t="s">
        <v>230</v>
      </c>
      <c r="C336" s="1">
        <v>2010</v>
      </c>
      <c r="D336" s="5">
        <v>2.0034969999999999E-3</v>
      </c>
      <c r="E336" s="6">
        <v>195</v>
      </c>
    </row>
    <row r="337" spans="1:5" x14ac:dyDescent="0.35">
      <c r="A337" t="s">
        <v>145</v>
      </c>
      <c r="B337" s="1" t="s">
        <v>230</v>
      </c>
      <c r="C337" s="1">
        <v>2020</v>
      </c>
      <c r="D337" s="5">
        <v>2.0011199999999999E-3</v>
      </c>
      <c r="E337" s="6">
        <v>214</v>
      </c>
    </row>
    <row r="338" spans="1:5" x14ac:dyDescent="0.35">
      <c r="A338" t="s">
        <v>145</v>
      </c>
      <c r="B338" s="1" t="s">
        <v>231</v>
      </c>
      <c r="C338" s="1">
        <v>2010</v>
      </c>
      <c r="D338" s="5">
        <v>4.6858407999999997E-2</v>
      </c>
      <c r="E338" s="6">
        <v>21949</v>
      </c>
    </row>
    <row r="339" spans="1:5" x14ac:dyDescent="0.35">
      <c r="A339" t="s">
        <v>145</v>
      </c>
      <c r="B339" s="1" t="s">
        <v>231</v>
      </c>
      <c r="C339" s="1">
        <v>2020</v>
      </c>
      <c r="D339" s="5">
        <v>0.12520808</v>
      </c>
      <c r="E339" s="6">
        <v>59699</v>
      </c>
    </row>
    <row r="340" spans="1:5" x14ac:dyDescent="0.35">
      <c r="A340" t="s">
        <v>145</v>
      </c>
      <c r="B340" s="1" t="s">
        <v>232</v>
      </c>
      <c r="C340" s="1">
        <v>2010</v>
      </c>
      <c r="D340" s="5">
        <v>12.579983</v>
      </c>
      <c r="E340" s="6">
        <v>2626586</v>
      </c>
    </row>
    <row r="341" spans="1:5" x14ac:dyDescent="0.35">
      <c r="A341" t="s">
        <v>145</v>
      </c>
      <c r="B341" s="1" t="s">
        <v>232</v>
      </c>
      <c r="C341" s="1">
        <v>2020</v>
      </c>
      <c r="D341" s="5">
        <v>14.534928000000001</v>
      </c>
      <c r="E341" s="6">
        <v>3279342</v>
      </c>
    </row>
    <row r="342" spans="1:5" x14ac:dyDescent="0.35">
      <c r="A342" t="s">
        <v>145</v>
      </c>
      <c r="B342" s="1" t="s">
        <v>233</v>
      </c>
      <c r="C342" s="1">
        <v>2010</v>
      </c>
      <c r="D342" s="5">
        <v>1.3337309999999999E-3</v>
      </c>
      <c r="E342" s="6">
        <v>472</v>
      </c>
    </row>
    <row r="343" spans="1:5" x14ac:dyDescent="0.35">
      <c r="A343" t="s">
        <v>145</v>
      </c>
      <c r="B343" s="1" t="s">
        <v>233</v>
      </c>
      <c r="C343" s="1">
        <v>2020</v>
      </c>
      <c r="D343" s="5">
        <v>1.2376100000000001E-3</v>
      </c>
      <c r="E343" s="6">
        <v>579</v>
      </c>
    </row>
    <row r="344" spans="1:5" x14ac:dyDescent="0.35">
      <c r="A344" t="s">
        <v>145</v>
      </c>
      <c r="B344" s="1" t="s">
        <v>234</v>
      </c>
      <c r="C344" s="1">
        <v>2010</v>
      </c>
      <c r="D344" s="5">
        <v>23.400780000000001</v>
      </c>
      <c r="E344" s="6">
        <v>128686</v>
      </c>
    </row>
    <row r="345" spans="1:5" x14ac:dyDescent="0.35">
      <c r="A345" t="s">
        <v>145</v>
      </c>
      <c r="B345" s="1" t="s">
        <v>234</v>
      </c>
      <c r="C345" s="1">
        <v>2020</v>
      </c>
      <c r="D345" s="5">
        <v>22.45374</v>
      </c>
      <c r="E345" s="6">
        <v>137488</v>
      </c>
    </row>
    <row r="346" spans="1:5" x14ac:dyDescent="0.35">
      <c r="A346" t="s">
        <v>145</v>
      </c>
      <c r="B346" s="1" t="s">
        <v>235</v>
      </c>
      <c r="C346" s="1">
        <v>2010</v>
      </c>
      <c r="D346" s="5">
        <v>0.26036942000000002</v>
      </c>
      <c r="E346" s="6">
        <v>24418</v>
      </c>
    </row>
    <row r="347" spans="1:5" x14ac:dyDescent="0.35">
      <c r="A347" t="s">
        <v>145</v>
      </c>
      <c r="B347" s="1" t="s">
        <v>235</v>
      </c>
      <c r="C347" s="1">
        <v>2020</v>
      </c>
      <c r="D347" s="5">
        <v>0.45201533999999999</v>
      </c>
      <c r="E347" s="6">
        <v>46800</v>
      </c>
    </row>
    <row r="348" spans="1:5" x14ac:dyDescent="0.35">
      <c r="A348" t="s">
        <v>145</v>
      </c>
      <c r="B348" s="1" t="s">
        <v>236</v>
      </c>
      <c r="C348" s="1">
        <v>2010</v>
      </c>
      <c r="D348" s="5">
        <v>0.52222663000000002</v>
      </c>
      <c r="E348" s="6">
        <v>40868</v>
      </c>
    </row>
    <row r="349" spans="1:5" x14ac:dyDescent="0.35">
      <c r="A349" t="s">
        <v>145</v>
      </c>
      <c r="B349" s="1" t="s">
        <v>236</v>
      </c>
      <c r="C349" s="1">
        <v>2020</v>
      </c>
      <c r="D349" s="5">
        <v>0.53941804000000004</v>
      </c>
      <c r="E349" s="6">
        <v>46609</v>
      </c>
    </row>
    <row r="350" spans="1:5" x14ac:dyDescent="0.35">
      <c r="A350" t="s">
        <v>145</v>
      </c>
      <c r="B350" s="1" t="s">
        <v>237</v>
      </c>
      <c r="C350" s="1">
        <v>2010</v>
      </c>
      <c r="D350" s="5">
        <v>8.8993630000000004E-3</v>
      </c>
      <c r="E350" s="6">
        <v>2001</v>
      </c>
    </row>
    <row r="351" spans="1:5" x14ac:dyDescent="0.35">
      <c r="A351" t="s">
        <v>145</v>
      </c>
      <c r="B351" s="1" t="s">
        <v>237</v>
      </c>
      <c r="C351" s="1">
        <v>2020</v>
      </c>
      <c r="D351" s="5">
        <v>9.9996240000000004E-3</v>
      </c>
      <c r="E351" s="6">
        <v>2105</v>
      </c>
    </row>
    <row r="352" spans="1:5" x14ac:dyDescent="0.35">
      <c r="A352" t="s">
        <v>145</v>
      </c>
      <c r="B352" s="1" t="s">
        <v>238</v>
      </c>
      <c r="C352" s="1">
        <v>2010</v>
      </c>
      <c r="D352" s="5">
        <v>0</v>
      </c>
      <c r="E352" s="6">
        <v>0</v>
      </c>
    </row>
    <row r="353" spans="1:5" x14ac:dyDescent="0.35">
      <c r="A353" t="s">
        <v>145</v>
      </c>
      <c r="B353" s="1" t="s">
        <v>238</v>
      </c>
      <c r="C353" s="1">
        <v>2020</v>
      </c>
      <c r="D353" s="5">
        <v>0</v>
      </c>
      <c r="E353" s="6">
        <v>0</v>
      </c>
    </row>
    <row r="354" spans="1:5" x14ac:dyDescent="0.35">
      <c r="A354" t="s">
        <v>145</v>
      </c>
      <c r="B354" s="1" t="s">
        <v>239</v>
      </c>
      <c r="C354" s="1">
        <v>2010</v>
      </c>
      <c r="D354" s="5">
        <v>4.5921030000000002E-3</v>
      </c>
      <c r="E354" s="6">
        <v>351</v>
      </c>
    </row>
    <row r="355" spans="1:5" x14ac:dyDescent="0.35">
      <c r="A355" t="s">
        <v>145</v>
      </c>
      <c r="B355" s="1" t="s">
        <v>239</v>
      </c>
      <c r="C355" s="1">
        <v>2020</v>
      </c>
      <c r="D355" s="5">
        <v>3.66753E-3</v>
      </c>
      <c r="E355" s="6">
        <v>358</v>
      </c>
    </row>
    <row r="356" spans="1:5" x14ac:dyDescent="0.35">
      <c r="A356" t="s">
        <v>145</v>
      </c>
      <c r="B356" s="1" t="s">
        <v>240</v>
      </c>
      <c r="C356" s="1">
        <v>2010</v>
      </c>
      <c r="D356" s="5">
        <v>9.9754990000000005E-3</v>
      </c>
      <c r="E356" s="6">
        <v>4465</v>
      </c>
    </row>
    <row r="357" spans="1:5" x14ac:dyDescent="0.35">
      <c r="A357" t="s">
        <v>145</v>
      </c>
      <c r="B357" s="1" t="s">
        <v>240</v>
      </c>
      <c r="C357" s="1">
        <v>2020</v>
      </c>
      <c r="D357" s="5">
        <v>6.4825079999999997E-3</v>
      </c>
      <c r="E357" s="6">
        <v>3953</v>
      </c>
    </row>
    <row r="358" spans="1:5" x14ac:dyDescent="0.35">
      <c r="A358" t="s">
        <v>145</v>
      </c>
      <c r="B358" s="1" t="s">
        <v>241</v>
      </c>
      <c r="C358" s="1">
        <v>2010</v>
      </c>
      <c r="D358" s="5">
        <v>7.1827345000000001E-2</v>
      </c>
      <c r="E358" s="6">
        <v>49259</v>
      </c>
    </row>
    <row r="359" spans="1:5" x14ac:dyDescent="0.35">
      <c r="A359" t="s">
        <v>145</v>
      </c>
      <c r="B359" s="1" t="s">
        <v>241</v>
      </c>
      <c r="C359" s="1">
        <v>2020</v>
      </c>
      <c r="D359" s="5">
        <v>4.0371644999999998E-2</v>
      </c>
      <c r="E359" s="6">
        <v>28923</v>
      </c>
    </row>
    <row r="360" spans="1:5" x14ac:dyDescent="0.35">
      <c r="A360" t="s">
        <v>145</v>
      </c>
      <c r="B360" s="1" t="s">
        <v>242</v>
      </c>
      <c r="C360" s="1">
        <v>2010</v>
      </c>
      <c r="D360" s="5">
        <v>1.5216400000000001E-3</v>
      </c>
      <c r="E360" s="6">
        <v>102</v>
      </c>
    </row>
    <row r="361" spans="1:5" x14ac:dyDescent="0.35">
      <c r="A361" t="s">
        <v>145</v>
      </c>
      <c r="B361" s="1" t="s">
        <v>242</v>
      </c>
      <c r="C361" s="1">
        <v>2020</v>
      </c>
      <c r="D361" s="5">
        <v>1.184472E-3</v>
      </c>
      <c r="E361" s="6">
        <v>103</v>
      </c>
    </row>
    <row r="362" spans="1:5" x14ac:dyDescent="0.35">
      <c r="A362" t="s">
        <v>145</v>
      </c>
      <c r="B362" s="1" t="s">
        <v>243</v>
      </c>
      <c r="C362" s="1">
        <v>2010</v>
      </c>
      <c r="D362" s="5">
        <v>9.7309880000000001E-2</v>
      </c>
      <c r="E362" s="6">
        <v>105</v>
      </c>
    </row>
    <row r="363" spans="1:5" x14ac:dyDescent="0.35">
      <c r="A363" t="s">
        <v>145</v>
      </c>
      <c r="B363" s="1" t="s">
        <v>243</v>
      </c>
      <c r="C363" s="1">
        <v>2020</v>
      </c>
      <c r="D363" s="5">
        <v>7.8757726E-2</v>
      </c>
      <c r="E363" s="6">
        <v>83</v>
      </c>
    </row>
    <row r="364" spans="1:5" x14ac:dyDescent="0.35">
      <c r="A364" t="s">
        <v>145</v>
      </c>
      <c r="B364" s="1" t="s">
        <v>244</v>
      </c>
      <c r="C364" s="1">
        <v>2010</v>
      </c>
      <c r="D364" s="5">
        <v>20.882442000000001</v>
      </c>
      <c r="E364" s="6">
        <v>289567</v>
      </c>
    </row>
    <row r="365" spans="1:5" x14ac:dyDescent="0.35">
      <c r="A365" t="s">
        <v>145</v>
      </c>
      <c r="B365" s="1" t="s">
        <v>244</v>
      </c>
      <c r="C365" s="1">
        <v>2020</v>
      </c>
      <c r="D365" s="5">
        <v>20.617246999999999</v>
      </c>
      <c r="E365" s="6">
        <v>305346</v>
      </c>
    </row>
    <row r="366" spans="1:5" x14ac:dyDescent="0.35">
      <c r="A366" t="s">
        <v>145</v>
      </c>
      <c r="B366" s="1" t="s">
        <v>245</v>
      </c>
      <c r="C366" s="1">
        <v>2010</v>
      </c>
      <c r="D366" s="5">
        <v>0</v>
      </c>
      <c r="E366" s="6">
        <v>0</v>
      </c>
    </row>
    <row r="367" spans="1:5" x14ac:dyDescent="0.35">
      <c r="A367" t="s">
        <v>145</v>
      </c>
      <c r="B367" s="1" t="s">
        <v>245</v>
      </c>
      <c r="C367" s="1">
        <v>2020</v>
      </c>
      <c r="D367" s="5">
        <v>0</v>
      </c>
      <c r="E367" s="6">
        <v>0</v>
      </c>
    </row>
    <row r="368" spans="1:5" x14ac:dyDescent="0.35">
      <c r="A368" t="s">
        <v>145</v>
      </c>
      <c r="B368" s="1" t="s">
        <v>246</v>
      </c>
      <c r="C368" s="1">
        <v>2010</v>
      </c>
      <c r="D368" s="5">
        <v>3.2464850000000003E-2</v>
      </c>
      <c r="E368" s="6">
        <v>23812</v>
      </c>
    </row>
    <row r="369" spans="1:5" x14ac:dyDescent="0.35">
      <c r="A369" t="s">
        <v>145</v>
      </c>
      <c r="B369" s="1" t="s">
        <v>246</v>
      </c>
      <c r="C369" s="1">
        <v>2020</v>
      </c>
      <c r="D369" s="5">
        <v>4.3144706999999997E-2</v>
      </c>
      <c r="E369" s="6">
        <v>37144</v>
      </c>
    </row>
    <row r="370" spans="1:5" x14ac:dyDescent="0.35">
      <c r="A370" t="s">
        <v>145</v>
      </c>
      <c r="B370" s="1" t="s">
        <v>247</v>
      </c>
      <c r="C370" s="1">
        <v>2010</v>
      </c>
      <c r="D370" s="5">
        <v>1.8982649999999999E-3</v>
      </c>
      <c r="E370" s="6">
        <v>106</v>
      </c>
    </row>
    <row r="371" spans="1:5" x14ac:dyDescent="0.35">
      <c r="A371" t="s">
        <v>145</v>
      </c>
      <c r="B371" s="1" t="s">
        <v>247</v>
      </c>
      <c r="C371" s="1">
        <v>2020</v>
      </c>
      <c r="D371" s="5">
        <v>1.599888E-3</v>
      </c>
      <c r="E371" s="6">
        <v>111</v>
      </c>
    </row>
    <row r="372" spans="1:5" x14ac:dyDescent="0.35">
      <c r="A372" t="s">
        <v>145</v>
      </c>
      <c r="B372" s="1" t="s">
        <v>248</v>
      </c>
      <c r="C372" s="1">
        <v>2010</v>
      </c>
      <c r="D372" s="5">
        <v>4.6379710000000003E-3</v>
      </c>
      <c r="E372" s="6">
        <v>1502</v>
      </c>
    </row>
    <row r="373" spans="1:5" x14ac:dyDescent="0.35">
      <c r="A373" t="s">
        <v>145</v>
      </c>
      <c r="B373" s="1" t="s">
        <v>248</v>
      </c>
      <c r="C373" s="1">
        <v>2020</v>
      </c>
      <c r="D373" s="5">
        <v>5.3365560000000001E-3</v>
      </c>
      <c r="E373" s="6">
        <v>2372</v>
      </c>
    </row>
    <row r="374" spans="1:5" x14ac:dyDescent="0.35">
      <c r="A374" t="s">
        <v>145</v>
      </c>
      <c r="B374" s="1" t="s">
        <v>249</v>
      </c>
      <c r="C374" s="1">
        <v>2010</v>
      </c>
      <c r="D374" s="5">
        <v>1.1426565E-2</v>
      </c>
      <c r="E374" s="6">
        <v>5308</v>
      </c>
    </row>
    <row r="375" spans="1:5" x14ac:dyDescent="0.35">
      <c r="A375" t="s">
        <v>145</v>
      </c>
      <c r="B375" s="1" t="s">
        <v>249</v>
      </c>
      <c r="C375" s="1">
        <v>2020</v>
      </c>
      <c r="D375" s="5">
        <v>1.2662359999999999E-2</v>
      </c>
      <c r="E375" s="6">
        <v>5658</v>
      </c>
    </row>
    <row r="376" spans="1:5" x14ac:dyDescent="0.35">
      <c r="A376" t="s">
        <v>145</v>
      </c>
      <c r="B376" s="1" t="s">
        <v>250</v>
      </c>
      <c r="C376" s="1">
        <v>2010</v>
      </c>
      <c r="D376" s="5">
        <v>10.803027999999999</v>
      </c>
      <c r="E376" s="6">
        <v>749553</v>
      </c>
    </row>
    <row r="377" spans="1:5" x14ac:dyDescent="0.35">
      <c r="A377" t="s">
        <v>145</v>
      </c>
      <c r="B377" s="1" t="s">
        <v>250</v>
      </c>
      <c r="C377" s="1">
        <v>2020</v>
      </c>
      <c r="D377" s="5">
        <v>11.753531000000001</v>
      </c>
      <c r="E377" s="6">
        <v>1110535</v>
      </c>
    </row>
    <row r="378" spans="1:5" x14ac:dyDescent="0.35">
      <c r="A378" t="s">
        <v>145</v>
      </c>
      <c r="B378" s="1" t="s">
        <v>251</v>
      </c>
      <c r="C378" s="1">
        <v>2010</v>
      </c>
      <c r="D378" s="5">
        <v>1.4705718999999999</v>
      </c>
      <c r="E378" s="6">
        <v>926556</v>
      </c>
    </row>
    <row r="379" spans="1:5" x14ac:dyDescent="0.35">
      <c r="A379" t="s">
        <v>145</v>
      </c>
      <c r="B379" s="1" t="s">
        <v>251</v>
      </c>
      <c r="C379" s="1">
        <v>2020</v>
      </c>
      <c r="D379" s="5">
        <v>1.6954442000000001</v>
      </c>
      <c r="E379" s="6">
        <v>1141913</v>
      </c>
    </row>
    <row r="380" spans="1:5" x14ac:dyDescent="0.35">
      <c r="A380" t="s">
        <v>145</v>
      </c>
      <c r="B380" s="1" t="s">
        <v>252</v>
      </c>
      <c r="C380" s="1">
        <v>2010</v>
      </c>
      <c r="D380" s="5">
        <v>0.57529490000000005</v>
      </c>
      <c r="E380" s="6">
        <v>1789528</v>
      </c>
    </row>
    <row r="381" spans="1:5" x14ac:dyDescent="0.35">
      <c r="A381" t="s">
        <v>145</v>
      </c>
      <c r="B381" s="1" t="s">
        <v>252</v>
      </c>
      <c r="C381" s="1">
        <v>2020</v>
      </c>
      <c r="D381" s="5">
        <v>0.89428569999999996</v>
      </c>
      <c r="E381" s="6">
        <v>3035529</v>
      </c>
    </row>
    <row r="382" spans="1:5" x14ac:dyDescent="0.35">
      <c r="A382" t="s">
        <v>145</v>
      </c>
      <c r="B382" s="1" t="s">
        <v>253</v>
      </c>
      <c r="C382" s="1">
        <v>2010</v>
      </c>
      <c r="D382" s="5">
        <v>0.42470255000000001</v>
      </c>
      <c r="E382" s="6">
        <v>452</v>
      </c>
    </row>
    <row r="383" spans="1:5" x14ac:dyDescent="0.35">
      <c r="A383" t="s">
        <v>145</v>
      </c>
      <c r="B383" s="1" t="s">
        <v>253</v>
      </c>
      <c r="C383" s="1">
        <v>2020</v>
      </c>
      <c r="D383" s="5">
        <v>0.42040548</v>
      </c>
      <c r="E383" s="6">
        <v>369</v>
      </c>
    </row>
    <row r="384" spans="1:5" x14ac:dyDescent="0.35">
      <c r="A384" t="s">
        <v>145</v>
      </c>
      <c r="B384" s="1" t="s">
        <v>254</v>
      </c>
      <c r="C384" s="1">
        <v>2010</v>
      </c>
      <c r="D384" s="5">
        <v>0</v>
      </c>
      <c r="E384" s="6">
        <v>0</v>
      </c>
    </row>
    <row r="385" spans="1:5" x14ac:dyDescent="0.35">
      <c r="A385" t="s">
        <v>145</v>
      </c>
      <c r="B385" s="1" t="s">
        <v>254</v>
      </c>
      <c r="C385" s="1">
        <v>2020</v>
      </c>
      <c r="D385" s="5">
        <v>0</v>
      </c>
      <c r="E385" s="6">
        <v>0</v>
      </c>
    </row>
    <row r="386" spans="1:5" x14ac:dyDescent="0.35">
      <c r="A386" t="s">
        <v>145</v>
      </c>
      <c r="B386" s="1" t="s">
        <v>255</v>
      </c>
      <c r="C386" s="1">
        <v>2010</v>
      </c>
      <c r="D386" s="5">
        <v>0.20143884000000001</v>
      </c>
      <c r="E386" s="6">
        <v>57179</v>
      </c>
    </row>
    <row r="387" spans="1:5" x14ac:dyDescent="0.35">
      <c r="A387" t="s">
        <v>145</v>
      </c>
      <c r="B387" s="1" t="s">
        <v>255</v>
      </c>
      <c r="C387" s="1">
        <v>2020</v>
      </c>
      <c r="D387" s="5">
        <v>2.7500505000000001E-2</v>
      </c>
      <c r="E387" s="6">
        <v>9236</v>
      </c>
    </row>
    <row r="388" spans="1:5" x14ac:dyDescent="0.35">
      <c r="A388" t="s">
        <v>145</v>
      </c>
      <c r="B388" s="1" t="s">
        <v>256</v>
      </c>
      <c r="C388" s="1">
        <v>2010</v>
      </c>
      <c r="D388" s="5">
        <v>2.0370498000000001E-2</v>
      </c>
      <c r="E388" s="6">
        <v>49</v>
      </c>
    </row>
    <row r="389" spans="1:5" x14ac:dyDescent="0.35">
      <c r="A389" t="s">
        <v>145</v>
      </c>
      <c r="B389" s="1" t="s">
        <v>256</v>
      </c>
      <c r="C389" s="1">
        <v>2020</v>
      </c>
      <c r="D389" s="5">
        <v>1.9250408E-2</v>
      </c>
      <c r="E389" s="6">
        <v>58</v>
      </c>
    </row>
    <row r="390" spans="1:5" x14ac:dyDescent="0.35">
      <c r="A390" t="s">
        <v>145</v>
      </c>
      <c r="B390" s="1" t="s">
        <v>257</v>
      </c>
      <c r="C390" s="1">
        <v>2010</v>
      </c>
      <c r="D390" s="5">
        <v>0</v>
      </c>
      <c r="E390" s="6">
        <v>0</v>
      </c>
    </row>
    <row r="391" spans="1:5" x14ac:dyDescent="0.35">
      <c r="A391" t="s">
        <v>145</v>
      </c>
      <c r="B391" s="1" t="s">
        <v>257</v>
      </c>
      <c r="C391" s="1">
        <v>2020</v>
      </c>
      <c r="D391" s="5">
        <v>0</v>
      </c>
      <c r="E391" s="6">
        <v>0</v>
      </c>
    </row>
    <row r="392" spans="1:5" x14ac:dyDescent="0.35">
      <c r="A392" t="s">
        <v>145</v>
      </c>
      <c r="B392" s="1" t="s">
        <v>258</v>
      </c>
      <c r="C392" s="1">
        <v>2010</v>
      </c>
      <c r="D392" s="5">
        <v>6.5549129999999997E-2</v>
      </c>
      <c r="E392" s="6">
        <v>57326</v>
      </c>
    </row>
    <row r="393" spans="1:5" x14ac:dyDescent="0.35">
      <c r="A393" t="s">
        <v>145</v>
      </c>
      <c r="B393" s="1" t="s">
        <v>258</v>
      </c>
      <c r="C393" s="1">
        <v>2020</v>
      </c>
      <c r="D393" s="5">
        <v>4.128809E-2</v>
      </c>
      <c r="E393" s="6">
        <v>40495</v>
      </c>
    </row>
    <row r="394" spans="1:5" x14ac:dyDescent="0.35">
      <c r="A394" t="s">
        <v>145</v>
      </c>
      <c r="B394" s="1" t="s">
        <v>259</v>
      </c>
      <c r="C394" s="1">
        <v>2010</v>
      </c>
      <c r="D394" s="5">
        <v>0</v>
      </c>
      <c r="E394" s="6">
        <v>0</v>
      </c>
    </row>
    <row r="395" spans="1:5" x14ac:dyDescent="0.35">
      <c r="A395" t="s">
        <v>145</v>
      </c>
      <c r="B395" s="1" t="s">
        <v>259</v>
      </c>
      <c r="C395" s="1">
        <v>2020</v>
      </c>
      <c r="D395" s="5">
        <v>0</v>
      </c>
      <c r="E395" s="6">
        <v>0</v>
      </c>
    </row>
    <row r="396" spans="1:5" x14ac:dyDescent="0.35">
      <c r="A396" t="s">
        <v>145</v>
      </c>
      <c r="B396" s="1" t="s">
        <v>260</v>
      </c>
      <c r="C396" s="1">
        <v>2010</v>
      </c>
      <c r="D396" s="5">
        <v>2.0206964000000001E-2</v>
      </c>
      <c r="E396" s="6">
        <v>5406</v>
      </c>
    </row>
    <row r="397" spans="1:5" x14ac:dyDescent="0.35">
      <c r="A397" t="s">
        <v>145</v>
      </c>
      <c r="B397" s="1" t="s">
        <v>260</v>
      </c>
      <c r="C397" s="1">
        <v>2020</v>
      </c>
      <c r="D397" s="5">
        <v>7.7437629999999999E-3</v>
      </c>
      <c r="E397" s="6">
        <v>2798</v>
      </c>
    </row>
    <row r="398" spans="1:5" x14ac:dyDescent="0.35">
      <c r="A398" t="s">
        <v>145</v>
      </c>
      <c r="B398" s="1" t="s">
        <v>261</v>
      </c>
      <c r="C398" s="1">
        <v>2010</v>
      </c>
      <c r="D398" s="5">
        <v>1.8198842E-2</v>
      </c>
      <c r="E398" s="6">
        <v>2542</v>
      </c>
    </row>
    <row r="399" spans="1:5" x14ac:dyDescent="0.35">
      <c r="A399" t="s">
        <v>145</v>
      </c>
      <c r="B399" s="1" t="s">
        <v>261</v>
      </c>
      <c r="C399" s="1">
        <v>2020</v>
      </c>
      <c r="D399" s="5">
        <v>1.6061104999999999E-2</v>
      </c>
      <c r="E399" s="6">
        <v>3061</v>
      </c>
    </row>
    <row r="400" spans="1:5" x14ac:dyDescent="0.35">
      <c r="A400" t="s">
        <v>145</v>
      </c>
      <c r="B400" s="1" t="s">
        <v>262</v>
      </c>
      <c r="C400" s="1">
        <v>2010</v>
      </c>
      <c r="D400" s="5">
        <v>4.8871588000000001E-2</v>
      </c>
      <c r="E400" s="6">
        <v>6528</v>
      </c>
    </row>
    <row r="401" spans="1:5" x14ac:dyDescent="0.35">
      <c r="A401" t="s">
        <v>145</v>
      </c>
      <c r="B401" s="1" t="s">
        <v>262</v>
      </c>
      <c r="C401" s="1">
        <v>2020</v>
      </c>
      <c r="D401" s="5">
        <v>3.8111850000000003E-2</v>
      </c>
      <c r="E401" s="6">
        <v>5918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C83E-A98A-46D4-89FD-71E0F0DFAF1C}">
  <dimension ref="A1:C201"/>
  <sheetViews>
    <sheetView workbookViewId="0">
      <selection activeCell="A84" sqref="A84:B84"/>
    </sheetView>
  </sheetViews>
  <sheetFormatPr defaultRowHeight="14.5" x14ac:dyDescent="0.35"/>
  <cols>
    <col min="1" max="1" width="17.453125" bestFit="1" customWidth="1"/>
    <col min="2" max="2" width="18.7265625" bestFit="1" customWidth="1"/>
    <col min="3" max="3" width="27.81640625" bestFit="1" customWidth="1"/>
  </cols>
  <sheetData>
    <row r="1" spans="1:3" x14ac:dyDescent="0.35">
      <c r="A1" t="s">
        <v>406</v>
      </c>
      <c r="B1" t="s">
        <v>407</v>
      </c>
      <c r="C1" t="s">
        <v>405</v>
      </c>
    </row>
    <row r="2" spans="1:3" x14ac:dyDescent="0.35">
      <c r="A2">
        <v>34.023000000000003</v>
      </c>
      <c r="B2">
        <v>65.527000000000001</v>
      </c>
      <c r="C2" t="s">
        <v>63</v>
      </c>
    </row>
    <row r="3" spans="1:3" x14ac:dyDescent="0.35">
      <c r="A3">
        <v>40.654000000000003</v>
      </c>
      <c r="B3">
        <v>20.076000000000001</v>
      </c>
      <c r="C3" t="s">
        <v>64</v>
      </c>
    </row>
    <row r="4" spans="1:3" x14ac:dyDescent="0.35">
      <c r="A4">
        <v>28.605</v>
      </c>
      <c r="B4">
        <v>2.64</v>
      </c>
      <c r="C4" t="s">
        <v>65</v>
      </c>
    </row>
    <row r="5" spans="1:3" x14ac:dyDescent="0.35">
      <c r="A5">
        <v>-12.836</v>
      </c>
      <c r="B5">
        <v>17.808</v>
      </c>
      <c r="C5" t="s">
        <v>66</v>
      </c>
    </row>
    <row r="6" spans="1:3" x14ac:dyDescent="0.35">
      <c r="A6">
        <v>-33.165999999999997</v>
      </c>
      <c r="B6">
        <v>-64.31</v>
      </c>
      <c r="C6" t="s">
        <v>67</v>
      </c>
    </row>
    <row r="7" spans="1:3" x14ac:dyDescent="0.35">
      <c r="A7">
        <v>40.56</v>
      </c>
      <c r="B7">
        <v>44.448999999999998</v>
      </c>
      <c r="C7" t="s">
        <v>68</v>
      </c>
    </row>
    <row r="8" spans="1:3" x14ac:dyDescent="0.35">
      <c r="A8">
        <v>12.518000000000001</v>
      </c>
      <c r="B8">
        <v>-69.981999999999999</v>
      </c>
      <c r="C8" t="s">
        <v>69</v>
      </c>
    </row>
    <row r="9" spans="1:3" x14ac:dyDescent="0.35">
      <c r="A9">
        <v>-24.577999999999999</v>
      </c>
      <c r="B9">
        <v>133.58199999999999</v>
      </c>
      <c r="C9" t="s">
        <v>70</v>
      </c>
    </row>
    <row r="10" spans="1:3" x14ac:dyDescent="0.35">
      <c r="A10">
        <v>47.65</v>
      </c>
      <c r="B10">
        <v>14.705</v>
      </c>
      <c r="C10" t="s">
        <v>71</v>
      </c>
    </row>
    <row r="11" spans="1:3" x14ac:dyDescent="0.35">
      <c r="A11">
        <v>40.46</v>
      </c>
      <c r="B11">
        <v>47.883000000000003</v>
      </c>
      <c r="C11" t="s">
        <v>72</v>
      </c>
    </row>
    <row r="12" spans="1:3" x14ac:dyDescent="0.35">
      <c r="A12">
        <v>24.702999999999999</v>
      </c>
      <c r="B12">
        <v>-78.046000000000006</v>
      </c>
      <c r="C12" t="s">
        <v>73</v>
      </c>
    </row>
    <row r="13" spans="1:3" x14ac:dyDescent="0.35">
      <c r="A13">
        <v>26.024999999999999</v>
      </c>
      <c r="B13">
        <v>50.552999999999997</v>
      </c>
      <c r="C13" t="s">
        <v>74</v>
      </c>
    </row>
    <row r="14" spans="1:3" x14ac:dyDescent="0.35">
      <c r="A14">
        <v>24.597999999999999</v>
      </c>
      <c r="B14">
        <v>90.195999999999998</v>
      </c>
      <c r="C14" t="s">
        <v>75</v>
      </c>
    </row>
    <row r="15" spans="1:3" x14ac:dyDescent="0.35">
      <c r="A15">
        <v>13.19</v>
      </c>
      <c r="B15">
        <v>-59.558999999999997</v>
      </c>
      <c r="C15" t="s">
        <v>76</v>
      </c>
    </row>
    <row r="16" spans="1:3" x14ac:dyDescent="0.35">
      <c r="A16">
        <v>53.329000000000001</v>
      </c>
      <c r="B16">
        <v>27.949000000000002</v>
      </c>
      <c r="C16" t="s">
        <v>77</v>
      </c>
    </row>
    <row r="17" spans="1:3" x14ac:dyDescent="0.35">
      <c r="A17">
        <v>50.674999999999997</v>
      </c>
      <c r="B17">
        <v>4.4589999999999996</v>
      </c>
      <c r="C17" t="s">
        <v>78</v>
      </c>
    </row>
    <row r="18" spans="1:3" x14ac:dyDescent="0.35">
      <c r="A18">
        <v>17.108000000000001</v>
      </c>
      <c r="B18">
        <v>-88.744</v>
      </c>
      <c r="C18" t="s">
        <v>79</v>
      </c>
    </row>
    <row r="19" spans="1:3" x14ac:dyDescent="0.35">
      <c r="A19">
        <v>10.478</v>
      </c>
      <c r="B19">
        <v>2.274</v>
      </c>
      <c r="C19" t="s">
        <v>80</v>
      </c>
    </row>
    <row r="20" spans="1:3" x14ac:dyDescent="0.35">
      <c r="A20">
        <v>27.533999999999999</v>
      </c>
      <c r="B20">
        <v>90.3</v>
      </c>
      <c r="C20" t="s">
        <v>81</v>
      </c>
    </row>
    <row r="21" spans="1:3" x14ac:dyDescent="0.35">
      <c r="A21">
        <v>-16.71</v>
      </c>
      <c r="B21">
        <v>-65.183000000000007</v>
      </c>
      <c r="C21" t="s">
        <v>82</v>
      </c>
    </row>
    <row r="22" spans="1:3" x14ac:dyDescent="0.35">
      <c r="A22">
        <v>44.341999999999999</v>
      </c>
      <c r="B22">
        <v>17.803999999999998</v>
      </c>
      <c r="C22" t="s">
        <v>83</v>
      </c>
    </row>
    <row r="23" spans="1:3" x14ac:dyDescent="0.35">
      <c r="A23">
        <v>-22.126000000000001</v>
      </c>
      <c r="B23">
        <v>23.661999999999999</v>
      </c>
      <c r="C23" t="s">
        <v>84</v>
      </c>
    </row>
    <row r="24" spans="1:3" x14ac:dyDescent="0.35">
      <c r="A24">
        <v>-11.694000000000001</v>
      </c>
      <c r="B24">
        <v>-48.978000000000002</v>
      </c>
      <c r="C24" t="s">
        <v>85</v>
      </c>
    </row>
    <row r="25" spans="1:3" x14ac:dyDescent="0.35">
      <c r="A25">
        <v>4.452</v>
      </c>
      <c r="B25">
        <v>114.557</v>
      </c>
      <c r="C25" t="s">
        <v>86</v>
      </c>
    </row>
    <row r="26" spans="1:3" x14ac:dyDescent="0.35">
      <c r="A26">
        <v>42.625</v>
      </c>
      <c r="B26">
        <v>24.521000000000001</v>
      </c>
      <c r="C26" t="s">
        <v>87</v>
      </c>
    </row>
    <row r="27" spans="1:3" x14ac:dyDescent="0.35">
      <c r="A27">
        <v>12.673</v>
      </c>
      <c r="B27">
        <v>-1.226</v>
      </c>
      <c r="C27" t="s">
        <v>88</v>
      </c>
    </row>
    <row r="28" spans="1:3" x14ac:dyDescent="0.35">
      <c r="A28">
        <v>-3.3330000000000002</v>
      </c>
      <c r="B28">
        <v>29.748999999999999</v>
      </c>
      <c r="C28" t="s">
        <v>89</v>
      </c>
    </row>
    <row r="29" spans="1:3" x14ac:dyDescent="0.35">
      <c r="A29">
        <v>12.69</v>
      </c>
      <c r="B29">
        <v>104.444</v>
      </c>
      <c r="C29" t="s">
        <v>90</v>
      </c>
    </row>
    <row r="30" spans="1:3" x14ac:dyDescent="0.35">
      <c r="A30">
        <v>4.4000000000000004</v>
      </c>
      <c r="B30">
        <v>12.131</v>
      </c>
      <c r="C30" t="s">
        <v>91</v>
      </c>
    </row>
    <row r="31" spans="1:3" x14ac:dyDescent="0.35">
      <c r="A31">
        <v>59.207000000000001</v>
      </c>
      <c r="B31">
        <v>-111.194</v>
      </c>
      <c r="C31" t="s">
        <v>92</v>
      </c>
    </row>
    <row r="32" spans="1:3" x14ac:dyDescent="0.35">
      <c r="A32">
        <v>15.416</v>
      </c>
      <c r="B32">
        <v>-23.36</v>
      </c>
      <c r="C32" t="s">
        <v>93</v>
      </c>
    </row>
    <row r="33" spans="1:3" x14ac:dyDescent="0.35">
      <c r="A33">
        <v>7.0430000000000001</v>
      </c>
      <c r="B33">
        <v>21.423999999999999</v>
      </c>
      <c r="C33" t="s">
        <v>94</v>
      </c>
    </row>
    <row r="34" spans="1:3" x14ac:dyDescent="0.35">
      <c r="A34">
        <v>15.981</v>
      </c>
      <c r="B34">
        <v>18.780999999999999</v>
      </c>
      <c r="C34" t="s">
        <v>95</v>
      </c>
    </row>
    <row r="35" spans="1:3" x14ac:dyDescent="0.35">
      <c r="A35">
        <v>49.463000000000001</v>
      </c>
      <c r="B35">
        <v>-2.5830000000000002</v>
      </c>
      <c r="C35" t="s">
        <v>96</v>
      </c>
    </row>
    <row r="36" spans="1:3" x14ac:dyDescent="0.35">
      <c r="A36">
        <v>-23.175999999999998</v>
      </c>
      <c r="B36">
        <v>-69.200999999999993</v>
      </c>
      <c r="C36" t="s">
        <v>97</v>
      </c>
    </row>
    <row r="37" spans="1:3" x14ac:dyDescent="0.35">
      <c r="A37">
        <v>35.174999999999997</v>
      </c>
      <c r="B37">
        <v>99.388000000000005</v>
      </c>
      <c r="C37" t="s">
        <v>98</v>
      </c>
    </row>
    <row r="38" spans="1:3" x14ac:dyDescent="0.35">
      <c r="A38">
        <v>3.794</v>
      </c>
      <c r="B38">
        <v>-73.605999999999995</v>
      </c>
      <c r="C38" t="s">
        <v>99</v>
      </c>
    </row>
    <row r="39" spans="1:3" x14ac:dyDescent="0.35">
      <c r="A39">
        <v>-11.653</v>
      </c>
      <c r="B39">
        <v>43.331000000000003</v>
      </c>
      <c r="C39" t="s">
        <v>100</v>
      </c>
    </row>
    <row r="40" spans="1:3" x14ac:dyDescent="0.35">
      <c r="A40">
        <v>0.50900000000000001</v>
      </c>
      <c r="B40">
        <v>16.079999999999998</v>
      </c>
      <c r="C40" t="s">
        <v>101</v>
      </c>
    </row>
    <row r="41" spans="1:3" x14ac:dyDescent="0.35">
      <c r="A41">
        <v>10.125999999999999</v>
      </c>
      <c r="B41">
        <v>-84.075000000000003</v>
      </c>
      <c r="C41" t="s">
        <v>102</v>
      </c>
    </row>
    <row r="42" spans="1:3" x14ac:dyDescent="0.35">
      <c r="A42">
        <v>7.4969999999999999</v>
      </c>
      <c r="B42">
        <v>-5.3360000000000003</v>
      </c>
      <c r="C42" t="s">
        <v>103</v>
      </c>
    </row>
    <row r="43" spans="1:3" x14ac:dyDescent="0.35">
      <c r="A43">
        <v>45.753999999999998</v>
      </c>
      <c r="B43">
        <v>16.385000000000002</v>
      </c>
      <c r="C43" t="s">
        <v>104</v>
      </c>
    </row>
    <row r="44" spans="1:3" x14ac:dyDescent="0.35">
      <c r="A44">
        <v>20.571000000000002</v>
      </c>
      <c r="B44">
        <v>-76.456000000000003</v>
      </c>
      <c r="C44" t="s">
        <v>105</v>
      </c>
    </row>
    <row r="45" spans="1:3" x14ac:dyDescent="0.35">
      <c r="A45">
        <v>12.212999999999999</v>
      </c>
      <c r="B45">
        <v>-69.040999999999997</v>
      </c>
      <c r="C45" t="s">
        <v>106</v>
      </c>
    </row>
    <row r="46" spans="1:3" x14ac:dyDescent="0.35">
      <c r="A46">
        <v>34.893999999999998</v>
      </c>
      <c r="B46">
        <v>32.927999999999997</v>
      </c>
      <c r="C46" t="s">
        <v>107</v>
      </c>
    </row>
    <row r="47" spans="1:3" x14ac:dyDescent="0.35">
      <c r="A47">
        <v>49.847999999999999</v>
      </c>
      <c r="B47">
        <v>15.281000000000001</v>
      </c>
      <c r="C47" t="s">
        <v>108</v>
      </c>
    </row>
    <row r="48" spans="1:3" x14ac:dyDescent="0.35">
      <c r="A48">
        <v>-1.4179999999999999</v>
      </c>
      <c r="B48">
        <v>23.606999999999999</v>
      </c>
      <c r="C48" t="s">
        <v>109</v>
      </c>
    </row>
    <row r="49" spans="1:3" x14ac:dyDescent="0.35">
      <c r="A49">
        <v>56.113</v>
      </c>
      <c r="B49">
        <v>9.0960000000000001</v>
      </c>
      <c r="C49" t="s">
        <v>110</v>
      </c>
    </row>
    <row r="50" spans="1:3" x14ac:dyDescent="0.35">
      <c r="A50">
        <v>11.41</v>
      </c>
      <c r="B50">
        <v>42.164999999999999</v>
      </c>
      <c r="C50" t="s">
        <v>111</v>
      </c>
    </row>
    <row r="51" spans="1:3" x14ac:dyDescent="0.35">
      <c r="A51">
        <v>19.010000000000002</v>
      </c>
      <c r="B51">
        <v>-70.168999999999997</v>
      </c>
      <c r="C51" t="s">
        <v>112</v>
      </c>
    </row>
    <row r="52" spans="1:3" x14ac:dyDescent="0.35">
      <c r="A52">
        <v>-8.8559999999999999</v>
      </c>
      <c r="B52">
        <v>125.556</v>
      </c>
      <c r="C52" t="s">
        <v>113</v>
      </c>
    </row>
    <row r="53" spans="1:3" x14ac:dyDescent="0.35">
      <c r="A53">
        <v>-1.151</v>
      </c>
      <c r="B53">
        <v>-78.308000000000007</v>
      </c>
      <c r="C53" t="s">
        <v>114</v>
      </c>
    </row>
    <row r="54" spans="1:3" x14ac:dyDescent="0.35">
      <c r="A54">
        <v>26.16</v>
      </c>
      <c r="B54">
        <v>28.742000000000001</v>
      </c>
      <c r="C54" t="s">
        <v>115</v>
      </c>
    </row>
    <row r="55" spans="1:3" x14ac:dyDescent="0.35">
      <c r="A55">
        <v>13.848000000000001</v>
      </c>
      <c r="B55">
        <v>-89.228999999999999</v>
      </c>
      <c r="C55" t="s">
        <v>116</v>
      </c>
    </row>
    <row r="56" spans="1:3" x14ac:dyDescent="0.35">
      <c r="A56">
        <v>1.6339999999999999</v>
      </c>
      <c r="B56">
        <v>10.47</v>
      </c>
      <c r="C56" t="s">
        <v>117</v>
      </c>
    </row>
    <row r="57" spans="1:3" x14ac:dyDescent="0.35">
      <c r="A57">
        <v>15.981999999999999</v>
      </c>
      <c r="B57">
        <v>38.020000000000003</v>
      </c>
      <c r="C57" t="s">
        <v>118</v>
      </c>
    </row>
    <row r="58" spans="1:3" x14ac:dyDescent="0.35">
      <c r="A58">
        <v>58.777000000000001</v>
      </c>
      <c r="B58">
        <v>25.977</v>
      </c>
      <c r="C58" t="s">
        <v>119</v>
      </c>
    </row>
    <row r="59" spans="1:3" x14ac:dyDescent="0.35">
      <c r="A59">
        <v>-26.52</v>
      </c>
      <c r="B59">
        <v>31.460999999999999</v>
      </c>
      <c r="C59" t="s">
        <v>120</v>
      </c>
    </row>
    <row r="60" spans="1:3" x14ac:dyDescent="0.35">
      <c r="A60">
        <v>8.4350000000000005</v>
      </c>
      <c r="B60">
        <v>38.786000000000001</v>
      </c>
      <c r="C60" t="s">
        <v>121</v>
      </c>
    </row>
    <row r="61" spans="1:3" x14ac:dyDescent="0.35">
      <c r="A61">
        <v>-17.794</v>
      </c>
      <c r="B61">
        <v>177.97800000000001</v>
      </c>
      <c r="C61" t="s">
        <v>122</v>
      </c>
    </row>
    <row r="62" spans="1:3" x14ac:dyDescent="0.35">
      <c r="A62">
        <v>62.716000000000001</v>
      </c>
      <c r="B62">
        <v>26.192</v>
      </c>
      <c r="C62" t="s">
        <v>123</v>
      </c>
    </row>
    <row r="63" spans="1:3" x14ac:dyDescent="0.35">
      <c r="A63">
        <v>46.655999999999999</v>
      </c>
      <c r="B63">
        <v>2.5430000000000001</v>
      </c>
      <c r="C63" t="s">
        <v>124</v>
      </c>
    </row>
    <row r="64" spans="1:3" x14ac:dyDescent="0.35">
      <c r="A64">
        <v>3.9350000000000001</v>
      </c>
      <c r="B64">
        <v>-53.036000000000001</v>
      </c>
      <c r="C64" t="s">
        <v>125</v>
      </c>
    </row>
    <row r="65" spans="1:3" x14ac:dyDescent="0.35">
      <c r="A65">
        <v>-17.529</v>
      </c>
      <c r="B65">
        <v>-149.53</v>
      </c>
      <c r="C65" t="s">
        <v>126</v>
      </c>
    </row>
    <row r="66" spans="1:3" x14ac:dyDescent="0.35">
      <c r="A66">
        <v>-0.40600000000000003</v>
      </c>
      <c r="B66">
        <v>11.914</v>
      </c>
      <c r="C66" t="s">
        <v>127</v>
      </c>
    </row>
    <row r="67" spans="1:3" x14ac:dyDescent="0.35">
      <c r="A67">
        <v>13.499000000000001</v>
      </c>
      <c r="B67">
        <v>-14.641</v>
      </c>
      <c r="C67" t="s">
        <v>128</v>
      </c>
    </row>
    <row r="68" spans="1:3" x14ac:dyDescent="0.35">
      <c r="A68">
        <v>42.05</v>
      </c>
      <c r="B68">
        <v>43.576000000000001</v>
      </c>
      <c r="C68" t="s">
        <v>129</v>
      </c>
    </row>
    <row r="69" spans="1:3" x14ac:dyDescent="0.35">
      <c r="A69">
        <v>51.381999999999998</v>
      </c>
      <c r="B69">
        <v>9.9879999999999995</v>
      </c>
      <c r="C69" t="s">
        <v>130</v>
      </c>
    </row>
    <row r="70" spans="1:3" x14ac:dyDescent="0.35">
      <c r="A70">
        <v>7.258</v>
      </c>
      <c r="B70">
        <v>-1.0620000000000001</v>
      </c>
      <c r="C70" t="s">
        <v>131</v>
      </c>
    </row>
    <row r="71" spans="1:3" x14ac:dyDescent="0.35">
      <c r="A71">
        <v>39.786999999999999</v>
      </c>
      <c r="B71">
        <v>21.617000000000001</v>
      </c>
      <c r="C71" t="s">
        <v>132</v>
      </c>
    </row>
    <row r="72" spans="1:3" x14ac:dyDescent="0.35">
      <c r="A72">
        <v>12.111000000000001</v>
      </c>
      <c r="B72">
        <v>-61.686999999999998</v>
      </c>
      <c r="C72" t="s">
        <v>133</v>
      </c>
    </row>
    <row r="73" spans="1:3" x14ac:dyDescent="0.35">
      <c r="A73">
        <v>16.25</v>
      </c>
      <c r="B73">
        <v>-61.552999999999997</v>
      </c>
      <c r="C73" t="s">
        <v>134</v>
      </c>
    </row>
    <row r="74" spans="1:3" x14ac:dyDescent="0.35">
      <c r="A74">
        <v>13.45</v>
      </c>
      <c r="B74">
        <v>144.75800000000001</v>
      </c>
      <c r="C74" t="s">
        <v>135</v>
      </c>
    </row>
    <row r="75" spans="1:3" x14ac:dyDescent="0.35">
      <c r="A75">
        <v>15.124000000000001</v>
      </c>
      <c r="B75">
        <v>-90.710999999999999</v>
      </c>
      <c r="C75" t="s">
        <v>136</v>
      </c>
    </row>
    <row r="76" spans="1:3" x14ac:dyDescent="0.35">
      <c r="A76">
        <v>10.599</v>
      </c>
      <c r="B76">
        <v>-10.907</v>
      </c>
      <c r="C76" t="s">
        <v>137</v>
      </c>
    </row>
    <row r="77" spans="1:3" x14ac:dyDescent="0.35">
      <c r="A77">
        <v>12.191000000000001</v>
      </c>
      <c r="B77">
        <v>-14.475</v>
      </c>
      <c r="C77" t="s">
        <v>138</v>
      </c>
    </row>
    <row r="78" spans="1:3" x14ac:dyDescent="0.35">
      <c r="A78">
        <v>5.17</v>
      </c>
      <c r="B78">
        <v>-58.939</v>
      </c>
      <c r="C78" t="s">
        <v>139</v>
      </c>
    </row>
    <row r="79" spans="1:3" x14ac:dyDescent="0.35">
      <c r="A79">
        <v>19.318000000000001</v>
      </c>
      <c r="B79">
        <v>-72.421000000000006</v>
      </c>
      <c r="C79" t="s">
        <v>140</v>
      </c>
    </row>
    <row r="80" spans="1:3" x14ac:dyDescent="0.35">
      <c r="A80">
        <v>14.881</v>
      </c>
      <c r="B80">
        <v>-87.123000000000005</v>
      </c>
      <c r="C80" t="s">
        <v>141</v>
      </c>
    </row>
    <row r="81" spans="1:3" x14ac:dyDescent="0.35">
      <c r="A81">
        <v>22.411000000000001</v>
      </c>
      <c r="B81">
        <v>114.06</v>
      </c>
      <c r="C81" t="s">
        <v>142</v>
      </c>
    </row>
    <row r="82" spans="1:3" x14ac:dyDescent="0.35">
      <c r="A82">
        <v>47.173999999999999</v>
      </c>
      <c r="B82">
        <v>19.617999999999999</v>
      </c>
      <c r="C82" t="s">
        <v>143</v>
      </c>
    </row>
    <row r="83" spans="1:3" x14ac:dyDescent="0.35">
      <c r="A83">
        <v>64.825999999999993</v>
      </c>
      <c r="B83">
        <v>-18.417000000000002</v>
      </c>
      <c r="C83" t="s">
        <v>144</v>
      </c>
    </row>
    <row r="84" spans="1:3" x14ac:dyDescent="0.35">
      <c r="A84">
        <v>22.741</v>
      </c>
      <c r="B84">
        <v>78.236000000000004</v>
      </c>
      <c r="C84" t="s">
        <v>145</v>
      </c>
    </row>
    <row r="85" spans="1:3" x14ac:dyDescent="0.35">
      <c r="A85">
        <v>-0.73899999999999999</v>
      </c>
      <c r="B85">
        <v>114.045</v>
      </c>
      <c r="C85" t="s">
        <v>146</v>
      </c>
    </row>
    <row r="86" spans="1:3" x14ac:dyDescent="0.35">
      <c r="A86">
        <v>33.408000000000001</v>
      </c>
      <c r="B86">
        <v>54.042000000000002</v>
      </c>
      <c r="C86" t="s">
        <v>147</v>
      </c>
    </row>
    <row r="87" spans="1:3" x14ac:dyDescent="0.35">
      <c r="A87">
        <v>33.545000000000002</v>
      </c>
      <c r="B87">
        <v>43.277999999999999</v>
      </c>
      <c r="C87" t="s">
        <v>148</v>
      </c>
    </row>
    <row r="88" spans="1:3" x14ac:dyDescent="0.35">
      <c r="A88">
        <v>53.213999999999999</v>
      </c>
      <c r="B88">
        <v>-7.5880000000000001</v>
      </c>
      <c r="C88" t="s">
        <v>149</v>
      </c>
    </row>
    <row r="89" spans="1:3" x14ac:dyDescent="0.35">
      <c r="A89">
        <v>30.992000000000001</v>
      </c>
      <c r="B89">
        <v>34.834000000000003</v>
      </c>
      <c r="C89" t="s">
        <v>150</v>
      </c>
    </row>
    <row r="90" spans="1:3" x14ac:dyDescent="0.35">
      <c r="A90">
        <v>44.371000000000002</v>
      </c>
      <c r="B90">
        <v>11.108000000000001</v>
      </c>
      <c r="C90" t="s">
        <v>151</v>
      </c>
    </row>
    <row r="91" spans="1:3" x14ac:dyDescent="0.35">
      <c r="A91">
        <v>18.163</v>
      </c>
      <c r="B91">
        <v>-77.477000000000004</v>
      </c>
      <c r="C91" t="s">
        <v>152</v>
      </c>
    </row>
    <row r="92" spans="1:3" x14ac:dyDescent="0.35">
      <c r="A92">
        <v>35.962000000000003</v>
      </c>
      <c r="B92">
        <v>137.85499999999999</v>
      </c>
      <c r="C92" t="s">
        <v>153</v>
      </c>
    </row>
    <row r="93" spans="1:3" x14ac:dyDescent="0.35">
      <c r="A93">
        <v>30.681000000000001</v>
      </c>
      <c r="B93">
        <v>36.279000000000003</v>
      </c>
      <c r="C93" t="s">
        <v>154</v>
      </c>
    </row>
    <row r="94" spans="1:3" x14ac:dyDescent="0.35">
      <c r="A94">
        <v>48.866</v>
      </c>
      <c r="B94">
        <v>69.772000000000006</v>
      </c>
      <c r="C94" t="s">
        <v>155</v>
      </c>
    </row>
    <row r="95" spans="1:3" x14ac:dyDescent="0.35">
      <c r="A95">
        <v>0.80600000000000005</v>
      </c>
      <c r="B95">
        <v>38.165999999999997</v>
      </c>
      <c r="C95" t="s">
        <v>156</v>
      </c>
    </row>
    <row r="96" spans="1:3" x14ac:dyDescent="0.35">
      <c r="A96">
        <v>2.048</v>
      </c>
      <c r="B96">
        <v>-158.59</v>
      </c>
      <c r="C96" t="s">
        <v>157</v>
      </c>
    </row>
    <row r="97" spans="1:3" x14ac:dyDescent="0.35">
      <c r="A97">
        <v>42.545999999999999</v>
      </c>
      <c r="B97">
        <v>20.920999999999999</v>
      </c>
      <c r="C97" t="s">
        <v>158</v>
      </c>
    </row>
    <row r="98" spans="1:3" x14ac:dyDescent="0.35">
      <c r="A98">
        <v>29.317</v>
      </c>
      <c r="B98">
        <v>47.427</v>
      </c>
      <c r="C98" t="s">
        <v>159</v>
      </c>
    </row>
    <row r="99" spans="1:3" x14ac:dyDescent="0.35">
      <c r="A99">
        <v>41.741</v>
      </c>
      <c r="B99">
        <v>75.043000000000006</v>
      </c>
      <c r="C99" t="s">
        <v>160</v>
      </c>
    </row>
    <row r="100" spans="1:3" x14ac:dyDescent="0.35">
      <c r="A100">
        <v>19.594999999999999</v>
      </c>
      <c r="B100">
        <v>102.538</v>
      </c>
      <c r="C100" t="s">
        <v>161</v>
      </c>
    </row>
    <row r="101" spans="1:3" x14ac:dyDescent="0.35">
      <c r="A101">
        <v>57.017000000000003</v>
      </c>
      <c r="B101">
        <v>25.016999999999999</v>
      </c>
      <c r="C101" t="s">
        <v>162</v>
      </c>
    </row>
    <row r="102" spans="1:3" x14ac:dyDescent="0.35">
      <c r="A102">
        <v>34.161000000000001</v>
      </c>
      <c r="B102">
        <v>36.021000000000001</v>
      </c>
      <c r="C102" t="s">
        <v>163</v>
      </c>
    </row>
    <row r="103" spans="1:3" x14ac:dyDescent="0.35">
      <c r="A103">
        <v>-29.446000000000002</v>
      </c>
      <c r="B103">
        <v>28.370999999999999</v>
      </c>
      <c r="C103" t="s">
        <v>164</v>
      </c>
    </row>
    <row r="104" spans="1:3" x14ac:dyDescent="0.35">
      <c r="A104">
        <v>6.51</v>
      </c>
      <c r="B104">
        <v>-9.33</v>
      </c>
      <c r="C104" t="s">
        <v>165</v>
      </c>
    </row>
    <row r="105" spans="1:3" x14ac:dyDescent="0.35">
      <c r="A105">
        <v>27.24</v>
      </c>
      <c r="B105">
        <v>17.571000000000002</v>
      </c>
      <c r="C105" t="s">
        <v>166</v>
      </c>
    </row>
    <row r="106" spans="1:3" x14ac:dyDescent="0.35">
      <c r="A106">
        <v>55.341999999999999</v>
      </c>
      <c r="B106">
        <v>24.23</v>
      </c>
      <c r="C106" t="s">
        <v>167</v>
      </c>
    </row>
    <row r="107" spans="1:3" x14ac:dyDescent="0.35">
      <c r="A107">
        <v>49.670999999999999</v>
      </c>
      <c r="B107">
        <v>6.1130000000000004</v>
      </c>
      <c r="C107" t="s">
        <v>168</v>
      </c>
    </row>
    <row r="108" spans="1:3" x14ac:dyDescent="0.35">
      <c r="A108">
        <v>22.14</v>
      </c>
      <c r="B108">
        <v>113.56399999999999</v>
      </c>
      <c r="C108" t="s">
        <v>169</v>
      </c>
    </row>
    <row r="109" spans="1:3" x14ac:dyDescent="0.35">
      <c r="A109">
        <v>-19.614999999999998</v>
      </c>
      <c r="B109">
        <v>46.645000000000003</v>
      </c>
      <c r="C109" t="s">
        <v>170</v>
      </c>
    </row>
    <row r="110" spans="1:3" x14ac:dyDescent="0.35">
      <c r="A110">
        <v>-13.273</v>
      </c>
      <c r="B110">
        <v>33.743000000000002</v>
      </c>
      <c r="C110" t="s">
        <v>171</v>
      </c>
    </row>
    <row r="111" spans="1:3" x14ac:dyDescent="0.35">
      <c r="A111">
        <v>4.4160000000000004</v>
      </c>
      <c r="B111">
        <v>102.099</v>
      </c>
      <c r="C111" t="s">
        <v>172</v>
      </c>
    </row>
    <row r="112" spans="1:3" x14ac:dyDescent="0.35">
      <c r="A112">
        <v>4.2210000000000001</v>
      </c>
      <c r="B112">
        <v>73.462999999999994</v>
      </c>
      <c r="C112" t="s">
        <v>173</v>
      </c>
    </row>
    <row r="113" spans="1:3" x14ac:dyDescent="0.35">
      <c r="A113">
        <v>18.210999999999999</v>
      </c>
      <c r="B113">
        <v>-2.2090000000000001</v>
      </c>
      <c r="C113" t="s">
        <v>174</v>
      </c>
    </row>
    <row r="114" spans="1:3" x14ac:dyDescent="0.35">
      <c r="A114">
        <v>35.902000000000001</v>
      </c>
      <c r="B114">
        <v>14.414</v>
      </c>
      <c r="C114" t="s">
        <v>175</v>
      </c>
    </row>
    <row r="115" spans="1:3" x14ac:dyDescent="0.35">
      <c r="A115">
        <v>14.637</v>
      </c>
      <c r="B115">
        <v>-61.015000000000001</v>
      </c>
      <c r="C115" t="s">
        <v>176</v>
      </c>
    </row>
    <row r="116" spans="1:3" x14ac:dyDescent="0.35">
      <c r="A116">
        <v>19.413</v>
      </c>
      <c r="B116">
        <v>-10.653</v>
      </c>
      <c r="C116" t="s">
        <v>177</v>
      </c>
    </row>
    <row r="117" spans="1:3" x14ac:dyDescent="0.35">
      <c r="A117">
        <v>-20.253</v>
      </c>
      <c r="B117">
        <v>57.59</v>
      </c>
      <c r="C117" t="s">
        <v>178</v>
      </c>
    </row>
    <row r="118" spans="1:3" x14ac:dyDescent="0.35">
      <c r="A118">
        <v>-12.824999999999999</v>
      </c>
      <c r="B118">
        <v>45.149000000000001</v>
      </c>
      <c r="C118" t="s">
        <v>179</v>
      </c>
    </row>
    <row r="119" spans="1:3" x14ac:dyDescent="0.35">
      <c r="A119">
        <v>22.925000000000001</v>
      </c>
      <c r="B119">
        <v>-101.68</v>
      </c>
      <c r="C119" t="s">
        <v>180</v>
      </c>
    </row>
    <row r="120" spans="1:3" x14ac:dyDescent="0.35">
      <c r="A120">
        <v>47.524000000000001</v>
      </c>
      <c r="B120">
        <v>28.443999999999999</v>
      </c>
      <c r="C120" t="s">
        <v>181</v>
      </c>
    </row>
    <row r="121" spans="1:3" x14ac:dyDescent="0.35">
      <c r="A121">
        <v>46.515999999999998</v>
      </c>
      <c r="B121">
        <v>102.56399999999999</v>
      </c>
      <c r="C121" t="s">
        <v>182</v>
      </c>
    </row>
    <row r="122" spans="1:3" x14ac:dyDescent="0.35">
      <c r="A122">
        <v>42.856999999999999</v>
      </c>
      <c r="B122">
        <v>19.096</v>
      </c>
      <c r="C122" t="s">
        <v>183</v>
      </c>
    </row>
    <row r="123" spans="1:3" x14ac:dyDescent="0.35">
      <c r="A123">
        <v>31.129000000000001</v>
      </c>
      <c r="B123">
        <v>-7.3550000000000004</v>
      </c>
      <c r="C123" t="s">
        <v>184</v>
      </c>
    </row>
    <row r="124" spans="1:3" x14ac:dyDescent="0.35">
      <c r="A124">
        <v>-13.852</v>
      </c>
      <c r="B124">
        <v>38.042000000000002</v>
      </c>
      <c r="C124" t="s">
        <v>185</v>
      </c>
    </row>
    <row r="125" spans="1:3" x14ac:dyDescent="0.35">
      <c r="A125">
        <v>21.841000000000001</v>
      </c>
      <c r="B125">
        <v>96.05</v>
      </c>
      <c r="C125" t="s">
        <v>186</v>
      </c>
    </row>
    <row r="126" spans="1:3" x14ac:dyDescent="0.35">
      <c r="A126">
        <v>-21.276</v>
      </c>
      <c r="B126">
        <v>17.219000000000001</v>
      </c>
      <c r="C126" t="s">
        <v>187</v>
      </c>
    </row>
    <row r="127" spans="1:3" x14ac:dyDescent="0.35">
      <c r="A127">
        <v>28.210999999999999</v>
      </c>
      <c r="B127">
        <v>83.561000000000007</v>
      </c>
      <c r="C127" t="s">
        <v>188</v>
      </c>
    </row>
    <row r="128" spans="1:3" x14ac:dyDescent="0.35">
      <c r="A128">
        <v>52.17</v>
      </c>
      <c r="B128">
        <v>5.01</v>
      </c>
      <c r="C128" t="s">
        <v>189</v>
      </c>
    </row>
    <row r="129" spans="1:3" x14ac:dyDescent="0.35">
      <c r="A129">
        <v>-21.02</v>
      </c>
      <c r="B129">
        <v>165.06200000000001</v>
      </c>
      <c r="C129" t="s">
        <v>190</v>
      </c>
    </row>
    <row r="130" spans="1:3" x14ac:dyDescent="0.35">
      <c r="A130">
        <v>-42.558</v>
      </c>
      <c r="B130">
        <v>172.37700000000001</v>
      </c>
      <c r="C130" t="s">
        <v>191</v>
      </c>
    </row>
    <row r="131" spans="1:3" x14ac:dyDescent="0.35">
      <c r="A131">
        <v>12.692</v>
      </c>
      <c r="B131">
        <v>-85.03</v>
      </c>
      <c r="C131" t="s">
        <v>192</v>
      </c>
    </row>
    <row r="132" spans="1:3" x14ac:dyDescent="0.35">
      <c r="A132">
        <v>16.995999999999999</v>
      </c>
      <c r="B132">
        <v>9.9149999999999991</v>
      </c>
      <c r="C132" t="s">
        <v>193</v>
      </c>
    </row>
    <row r="133" spans="1:3" x14ac:dyDescent="0.35">
      <c r="A133">
        <v>9.3420000000000005</v>
      </c>
      <c r="B133">
        <v>7.6779999999999999</v>
      </c>
      <c r="C133" t="s">
        <v>194</v>
      </c>
    </row>
    <row r="134" spans="1:3" x14ac:dyDescent="0.35">
      <c r="A134">
        <v>39.767000000000003</v>
      </c>
      <c r="B134">
        <v>126.389</v>
      </c>
      <c r="C134" t="s">
        <v>195</v>
      </c>
    </row>
    <row r="135" spans="1:3" x14ac:dyDescent="0.35">
      <c r="A135">
        <v>41.636000000000003</v>
      </c>
      <c r="B135">
        <v>21.675999999999998</v>
      </c>
      <c r="C135" t="s">
        <v>196</v>
      </c>
    </row>
    <row r="136" spans="1:3" x14ac:dyDescent="0.35">
      <c r="A136">
        <v>61.37</v>
      </c>
      <c r="B136">
        <v>9.3030000000000008</v>
      </c>
      <c r="C136" t="s">
        <v>197</v>
      </c>
    </row>
    <row r="137" spans="1:3" x14ac:dyDescent="0.35">
      <c r="A137">
        <v>19.850000000000001</v>
      </c>
      <c r="B137">
        <v>56.25</v>
      </c>
      <c r="C137" t="s">
        <v>198</v>
      </c>
    </row>
    <row r="138" spans="1:3" x14ac:dyDescent="0.35">
      <c r="A138">
        <v>28.184999999999999</v>
      </c>
      <c r="B138">
        <v>66.643000000000001</v>
      </c>
      <c r="C138" t="s">
        <v>199</v>
      </c>
    </row>
    <row r="139" spans="1:3" x14ac:dyDescent="0.35">
      <c r="A139">
        <v>32.097000000000001</v>
      </c>
      <c r="B139">
        <v>35.26</v>
      </c>
      <c r="C139" t="s">
        <v>200</v>
      </c>
    </row>
    <row r="140" spans="1:3" x14ac:dyDescent="0.35">
      <c r="A140">
        <v>8.3480000000000008</v>
      </c>
      <c r="B140">
        <v>-81.004999999999995</v>
      </c>
      <c r="C140" t="s">
        <v>201</v>
      </c>
    </row>
    <row r="141" spans="1:3" x14ac:dyDescent="0.35">
      <c r="A141">
        <v>-5.6360000000000001</v>
      </c>
      <c r="B141">
        <v>142.798</v>
      </c>
      <c r="C141" t="s">
        <v>202</v>
      </c>
    </row>
    <row r="142" spans="1:3" x14ac:dyDescent="0.35">
      <c r="A142">
        <v>-23.265999999999998</v>
      </c>
      <c r="B142">
        <v>-58.408999999999999</v>
      </c>
      <c r="C142" t="s">
        <v>203</v>
      </c>
    </row>
    <row r="143" spans="1:3" x14ac:dyDescent="0.35">
      <c r="A143">
        <v>-12.664</v>
      </c>
      <c r="B143">
        <v>-72.98</v>
      </c>
      <c r="C143" t="s">
        <v>204</v>
      </c>
    </row>
    <row r="144" spans="1:3" x14ac:dyDescent="0.35">
      <c r="A144">
        <v>17.181000000000001</v>
      </c>
      <c r="B144">
        <v>121.256</v>
      </c>
      <c r="C144" t="s">
        <v>205</v>
      </c>
    </row>
    <row r="145" spans="1:3" x14ac:dyDescent="0.35">
      <c r="A145">
        <v>52.442</v>
      </c>
      <c r="B145">
        <v>19.72</v>
      </c>
      <c r="C145" t="s">
        <v>206</v>
      </c>
    </row>
    <row r="146" spans="1:3" x14ac:dyDescent="0.35">
      <c r="A146">
        <v>40.957000000000001</v>
      </c>
      <c r="B146">
        <v>-7.9370000000000003</v>
      </c>
      <c r="C146" t="s">
        <v>207</v>
      </c>
    </row>
    <row r="147" spans="1:3" x14ac:dyDescent="0.35">
      <c r="A147">
        <v>18.242000000000001</v>
      </c>
      <c r="B147">
        <v>-66.643000000000001</v>
      </c>
      <c r="C147" t="s">
        <v>208</v>
      </c>
    </row>
    <row r="148" spans="1:3" x14ac:dyDescent="0.35">
      <c r="A148">
        <v>25.317</v>
      </c>
      <c r="B148">
        <v>51.152000000000001</v>
      </c>
      <c r="C148" t="s">
        <v>209</v>
      </c>
    </row>
    <row r="149" spans="1:3" x14ac:dyDescent="0.35">
      <c r="A149">
        <v>-21.131</v>
      </c>
      <c r="B149">
        <v>55.536999999999999</v>
      </c>
      <c r="C149" t="s">
        <v>210</v>
      </c>
    </row>
    <row r="150" spans="1:3" x14ac:dyDescent="0.35">
      <c r="A150">
        <v>45.933</v>
      </c>
      <c r="B150">
        <v>25.119</v>
      </c>
      <c r="C150" t="s">
        <v>211</v>
      </c>
    </row>
    <row r="151" spans="1:3" x14ac:dyDescent="0.35">
      <c r="A151">
        <v>64.736000000000004</v>
      </c>
      <c r="B151">
        <v>104.062</v>
      </c>
      <c r="C151" t="s">
        <v>212</v>
      </c>
    </row>
    <row r="152" spans="1:3" x14ac:dyDescent="0.35">
      <c r="A152">
        <v>-1.887</v>
      </c>
      <c r="B152">
        <v>29.904</v>
      </c>
      <c r="C152" t="s">
        <v>213</v>
      </c>
    </row>
    <row r="153" spans="1:3" x14ac:dyDescent="0.35">
      <c r="A153">
        <v>13.909000000000001</v>
      </c>
      <c r="B153">
        <v>-60.978000000000002</v>
      </c>
      <c r="C153" t="s">
        <v>214</v>
      </c>
    </row>
    <row r="154" spans="1:3" x14ac:dyDescent="0.35">
      <c r="A154">
        <v>13.253</v>
      </c>
      <c r="B154">
        <v>-61.195</v>
      </c>
      <c r="C154" t="s">
        <v>215</v>
      </c>
    </row>
    <row r="155" spans="1:3" x14ac:dyDescent="0.35">
      <c r="A155">
        <v>-13.622</v>
      </c>
      <c r="B155">
        <v>-172.43899999999999</v>
      </c>
      <c r="C155" t="s">
        <v>216</v>
      </c>
    </row>
    <row r="156" spans="1:3" x14ac:dyDescent="0.35">
      <c r="A156">
        <v>0.216</v>
      </c>
      <c r="B156">
        <v>6.5949999999999998</v>
      </c>
      <c r="C156" t="s">
        <v>217</v>
      </c>
    </row>
    <row r="157" spans="1:3" x14ac:dyDescent="0.35">
      <c r="A157">
        <v>24.190999999999999</v>
      </c>
      <c r="B157">
        <v>44.32</v>
      </c>
      <c r="C157" t="s">
        <v>218</v>
      </c>
    </row>
    <row r="158" spans="1:3" x14ac:dyDescent="0.35">
      <c r="A158">
        <v>15.044</v>
      </c>
      <c r="B158">
        <v>-15.081</v>
      </c>
      <c r="C158" t="s">
        <v>219</v>
      </c>
    </row>
    <row r="159" spans="1:3" x14ac:dyDescent="0.35">
      <c r="A159">
        <v>44.021000000000001</v>
      </c>
      <c r="B159">
        <v>20.699000000000002</v>
      </c>
      <c r="C159" t="s">
        <v>220</v>
      </c>
    </row>
    <row r="160" spans="1:3" x14ac:dyDescent="0.35">
      <c r="A160">
        <v>-4.6840000000000002</v>
      </c>
      <c r="B160">
        <v>55.491999999999997</v>
      </c>
      <c r="C160" t="s">
        <v>221</v>
      </c>
    </row>
    <row r="161" spans="1:3" x14ac:dyDescent="0.35">
      <c r="A161">
        <v>8.6769999999999996</v>
      </c>
      <c r="B161">
        <v>-11.779</v>
      </c>
      <c r="C161" t="s">
        <v>222</v>
      </c>
    </row>
    <row r="162" spans="1:3" x14ac:dyDescent="0.35">
      <c r="A162">
        <v>1.339</v>
      </c>
      <c r="B162">
        <v>103.83</v>
      </c>
      <c r="C162" t="s">
        <v>223</v>
      </c>
    </row>
    <row r="163" spans="1:3" x14ac:dyDescent="0.35">
      <c r="A163">
        <v>48.86</v>
      </c>
      <c r="B163">
        <v>19.443000000000001</v>
      </c>
      <c r="C163" t="s">
        <v>224</v>
      </c>
    </row>
    <row r="164" spans="1:3" x14ac:dyDescent="0.35">
      <c r="A164">
        <v>46.036999999999999</v>
      </c>
      <c r="B164">
        <v>14.534000000000001</v>
      </c>
      <c r="C164" t="s">
        <v>225</v>
      </c>
    </row>
    <row r="165" spans="1:3" x14ac:dyDescent="0.35">
      <c r="A165">
        <v>-9.5990000000000002</v>
      </c>
      <c r="B165">
        <v>160.149</v>
      </c>
      <c r="C165" t="s">
        <v>226</v>
      </c>
    </row>
    <row r="166" spans="1:3" x14ac:dyDescent="0.35">
      <c r="A166">
        <v>2.875</v>
      </c>
      <c r="B166">
        <v>43.445999999999998</v>
      </c>
      <c r="C166" t="s">
        <v>227</v>
      </c>
    </row>
    <row r="167" spans="1:3" x14ac:dyDescent="0.35">
      <c r="A167">
        <v>-31.7</v>
      </c>
      <c r="B167">
        <v>23.440999999999999</v>
      </c>
      <c r="C167" t="s">
        <v>228</v>
      </c>
    </row>
    <row r="168" spans="1:3" x14ac:dyDescent="0.35">
      <c r="A168">
        <v>36.338000000000001</v>
      </c>
      <c r="B168">
        <v>128.16</v>
      </c>
      <c r="C168" t="s">
        <v>229</v>
      </c>
    </row>
    <row r="169" spans="1:3" x14ac:dyDescent="0.35">
      <c r="A169">
        <v>7.1</v>
      </c>
      <c r="B169">
        <v>30.48</v>
      </c>
      <c r="C169" t="s">
        <v>230</v>
      </c>
    </row>
    <row r="170" spans="1:3" x14ac:dyDescent="0.35">
      <c r="A170">
        <v>40.616999999999997</v>
      </c>
      <c r="B170">
        <v>-3.3879999999999999</v>
      </c>
      <c r="C170" t="s">
        <v>231</v>
      </c>
    </row>
    <row r="171" spans="1:3" x14ac:dyDescent="0.35">
      <c r="A171">
        <v>7.3</v>
      </c>
      <c r="B171">
        <v>80.727000000000004</v>
      </c>
      <c r="C171" t="s">
        <v>232</v>
      </c>
    </row>
    <row r="172" spans="1:3" x14ac:dyDescent="0.35">
      <c r="A172">
        <v>15.739000000000001</v>
      </c>
      <c r="B172">
        <v>29.533000000000001</v>
      </c>
      <c r="C172" t="s">
        <v>233</v>
      </c>
    </row>
    <row r="173" spans="1:3" x14ac:dyDescent="0.35">
      <c r="A173">
        <v>4.2480000000000002</v>
      </c>
      <c r="B173">
        <v>-55.847999999999999</v>
      </c>
      <c r="C173" t="s">
        <v>234</v>
      </c>
    </row>
    <row r="174" spans="1:3" x14ac:dyDescent="0.35">
      <c r="A174">
        <v>66.218999999999994</v>
      </c>
      <c r="B174">
        <v>19</v>
      </c>
      <c r="C174" t="s">
        <v>235</v>
      </c>
    </row>
    <row r="175" spans="1:3" x14ac:dyDescent="0.35">
      <c r="A175">
        <v>46.779000000000003</v>
      </c>
      <c r="B175">
        <v>8.0329999999999995</v>
      </c>
      <c r="C175" t="s">
        <v>236</v>
      </c>
    </row>
    <row r="176" spans="1:3" x14ac:dyDescent="0.35">
      <c r="A176">
        <v>35.302999999999997</v>
      </c>
      <c r="B176">
        <v>38.322000000000003</v>
      </c>
      <c r="C176" t="s">
        <v>237</v>
      </c>
    </row>
    <row r="177" spans="1:3" x14ac:dyDescent="0.35">
      <c r="A177">
        <v>23.609000000000002</v>
      </c>
      <c r="B177">
        <v>120.83499999999999</v>
      </c>
      <c r="C177" t="s">
        <v>238</v>
      </c>
    </row>
    <row r="178" spans="1:3" x14ac:dyDescent="0.35">
      <c r="A178">
        <v>38.366999999999997</v>
      </c>
      <c r="B178">
        <v>72.596999999999994</v>
      </c>
      <c r="C178" t="s">
        <v>239</v>
      </c>
    </row>
    <row r="179" spans="1:3" x14ac:dyDescent="0.35">
      <c r="A179">
        <v>-5.6509999999999998</v>
      </c>
      <c r="B179">
        <v>34.146000000000001</v>
      </c>
      <c r="C179" t="s">
        <v>240</v>
      </c>
    </row>
    <row r="180" spans="1:3" x14ac:dyDescent="0.35">
      <c r="A180">
        <v>15.688000000000001</v>
      </c>
      <c r="B180">
        <v>100.845</v>
      </c>
      <c r="C180" t="s">
        <v>241</v>
      </c>
    </row>
    <row r="181" spans="1:3" x14ac:dyDescent="0.35">
      <c r="A181">
        <v>7.7</v>
      </c>
      <c r="B181">
        <v>1.1060000000000001</v>
      </c>
      <c r="C181" t="s">
        <v>242</v>
      </c>
    </row>
    <row r="182" spans="1:3" x14ac:dyDescent="0.35">
      <c r="A182">
        <v>-21.167000000000002</v>
      </c>
      <c r="B182">
        <v>-175.19</v>
      </c>
      <c r="C182" t="s">
        <v>243</v>
      </c>
    </row>
    <row r="183" spans="1:3" x14ac:dyDescent="0.35">
      <c r="A183">
        <v>10.444000000000001</v>
      </c>
      <c r="B183">
        <v>-61.26</v>
      </c>
      <c r="C183" t="s">
        <v>244</v>
      </c>
    </row>
    <row r="184" spans="1:3" x14ac:dyDescent="0.35">
      <c r="A184">
        <v>35.594000000000001</v>
      </c>
      <c r="B184">
        <v>9.4209999999999994</v>
      </c>
      <c r="C184" t="s">
        <v>245</v>
      </c>
    </row>
    <row r="185" spans="1:3" x14ac:dyDescent="0.35">
      <c r="A185">
        <v>39.143999999999998</v>
      </c>
      <c r="B185">
        <v>34.188000000000002</v>
      </c>
      <c r="C185" t="s">
        <v>246</v>
      </c>
    </row>
    <row r="186" spans="1:3" x14ac:dyDescent="0.35">
      <c r="A186">
        <v>39.584000000000003</v>
      </c>
      <c r="B186">
        <v>59.597000000000001</v>
      </c>
      <c r="C186" t="s">
        <v>247</v>
      </c>
    </row>
    <row r="187" spans="1:3" x14ac:dyDescent="0.35">
      <c r="A187">
        <v>1.9390000000000001</v>
      </c>
      <c r="B187">
        <v>32.741999999999997</v>
      </c>
      <c r="C187" t="s">
        <v>248</v>
      </c>
    </row>
    <row r="188" spans="1:3" x14ac:dyDescent="0.35">
      <c r="A188">
        <v>49.363999999999997</v>
      </c>
      <c r="B188">
        <v>32.131999999999998</v>
      </c>
      <c r="C188" t="s">
        <v>249</v>
      </c>
    </row>
    <row r="189" spans="1:3" x14ac:dyDescent="0.35">
      <c r="A189">
        <v>23.93</v>
      </c>
      <c r="B189">
        <v>53.902999999999999</v>
      </c>
      <c r="C189" t="s">
        <v>250</v>
      </c>
    </row>
    <row r="190" spans="1:3" x14ac:dyDescent="0.35">
      <c r="A190">
        <v>52.289000000000001</v>
      </c>
      <c r="B190">
        <v>-1.2589999999999999</v>
      </c>
      <c r="C190" t="s">
        <v>251</v>
      </c>
    </row>
    <row r="191" spans="1:3" x14ac:dyDescent="0.35">
      <c r="A191">
        <v>40.079000000000001</v>
      </c>
      <c r="B191">
        <v>-98.816000000000003</v>
      </c>
      <c r="C191" t="s">
        <v>252</v>
      </c>
    </row>
    <row r="192" spans="1:3" x14ac:dyDescent="0.35">
      <c r="A192">
        <v>17.728999999999999</v>
      </c>
      <c r="B192">
        <v>-64.759</v>
      </c>
      <c r="C192" t="s">
        <v>253</v>
      </c>
    </row>
    <row r="193" spans="1:3" x14ac:dyDescent="0.35">
      <c r="A193">
        <v>-32.948</v>
      </c>
      <c r="B193">
        <v>-56.249000000000002</v>
      </c>
      <c r="C193" t="s">
        <v>254</v>
      </c>
    </row>
    <row r="194" spans="1:3" x14ac:dyDescent="0.35">
      <c r="A194">
        <v>41.756999999999998</v>
      </c>
      <c r="B194">
        <v>63.957999999999998</v>
      </c>
      <c r="C194" t="s">
        <v>255</v>
      </c>
    </row>
    <row r="195" spans="1:3" x14ac:dyDescent="0.35">
      <c r="A195">
        <v>-15.339</v>
      </c>
      <c r="B195">
        <v>166.89</v>
      </c>
      <c r="C195" t="s">
        <v>256</v>
      </c>
    </row>
    <row r="196" spans="1:3" x14ac:dyDescent="0.35">
      <c r="A196">
        <v>6.9829999999999997</v>
      </c>
      <c r="B196">
        <v>-64.587999999999994</v>
      </c>
      <c r="C196" t="s">
        <v>257</v>
      </c>
    </row>
    <row r="197" spans="1:3" x14ac:dyDescent="0.35">
      <c r="A197">
        <v>21.75</v>
      </c>
      <c r="B197">
        <v>105.373</v>
      </c>
      <c r="C197" t="s">
        <v>258</v>
      </c>
    </row>
    <row r="198" spans="1:3" x14ac:dyDescent="0.35">
      <c r="A198">
        <v>24.481000000000002</v>
      </c>
      <c r="B198">
        <v>-13.627000000000001</v>
      </c>
      <c r="C198" t="s">
        <v>259</v>
      </c>
    </row>
    <row r="199" spans="1:3" x14ac:dyDescent="0.35">
      <c r="A199">
        <v>15.569000000000001</v>
      </c>
      <c r="B199">
        <v>47.792999999999999</v>
      </c>
      <c r="C199" t="s">
        <v>260</v>
      </c>
    </row>
    <row r="200" spans="1:3" x14ac:dyDescent="0.35">
      <c r="A200">
        <v>-15.13</v>
      </c>
      <c r="B200">
        <v>25.268000000000001</v>
      </c>
      <c r="C200" t="s">
        <v>261</v>
      </c>
    </row>
    <row r="201" spans="1:3" x14ac:dyDescent="0.35">
      <c r="A201">
        <v>-19.097999999999999</v>
      </c>
      <c r="B201">
        <v>30.047000000000001</v>
      </c>
      <c r="C201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4B7F-A713-4E52-BF65-28B689B30658}">
  <dimension ref="A1:E39"/>
  <sheetViews>
    <sheetView topLeftCell="A4" workbookViewId="0">
      <selection activeCell="F14" sqref="F14"/>
    </sheetView>
  </sheetViews>
  <sheetFormatPr defaultRowHeight="14.5" x14ac:dyDescent="0.35"/>
  <cols>
    <col min="1" max="1" width="17.81640625" bestFit="1" customWidth="1"/>
    <col min="2" max="2" width="14.36328125" bestFit="1" customWidth="1"/>
    <col min="3" max="3" width="10" bestFit="1" customWidth="1"/>
    <col min="4" max="4" width="13.08984375" bestFit="1" customWidth="1"/>
    <col min="5" max="5" width="14.36328125" bestFit="1" customWidth="1"/>
  </cols>
  <sheetData>
    <row r="1" spans="1:5" x14ac:dyDescent="0.35">
      <c r="A1" t="s">
        <v>5</v>
      </c>
      <c r="B1" t="s">
        <v>305</v>
      </c>
      <c r="C1" t="s">
        <v>3</v>
      </c>
      <c r="D1" t="s">
        <v>4</v>
      </c>
      <c r="E1" t="s">
        <v>304</v>
      </c>
    </row>
    <row r="2" spans="1:5" x14ac:dyDescent="0.35">
      <c r="A2" t="s">
        <v>267</v>
      </c>
      <c r="B2">
        <v>90</v>
      </c>
      <c r="C2">
        <v>1</v>
      </c>
      <c r="D2">
        <f>B2/C2</f>
        <v>90</v>
      </c>
      <c r="E2">
        <v>5715781</v>
      </c>
    </row>
    <row r="3" spans="1:5" x14ac:dyDescent="0.35">
      <c r="A3" t="s">
        <v>268</v>
      </c>
      <c r="B3">
        <v>15868</v>
      </c>
      <c r="C3">
        <v>15</v>
      </c>
      <c r="D3">
        <f t="shared" ref="D3:D35" si="0">B3/C3</f>
        <v>1057.8666666666666</v>
      </c>
      <c r="E3">
        <v>15762983</v>
      </c>
    </row>
    <row r="4" spans="1:5" x14ac:dyDescent="0.35">
      <c r="A4" t="s">
        <v>269</v>
      </c>
      <c r="B4">
        <v>76</v>
      </c>
      <c r="C4">
        <v>1</v>
      </c>
      <c r="D4">
        <f t="shared" si="0"/>
        <v>76</v>
      </c>
      <c r="E4">
        <v>5887418</v>
      </c>
    </row>
    <row r="5" spans="1:5" x14ac:dyDescent="0.35">
      <c r="A5" t="s">
        <v>270</v>
      </c>
      <c r="B5">
        <v>744</v>
      </c>
      <c r="C5">
        <v>9</v>
      </c>
      <c r="D5">
        <f t="shared" si="0"/>
        <v>82.666666666666671</v>
      </c>
      <c r="E5">
        <v>7258888</v>
      </c>
    </row>
    <row r="6" spans="1:5" x14ac:dyDescent="0.35">
      <c r="A6" t="s">
        <v>271</v>
      </c>
      <c r="B6">
        <v>566</v>
      </c>
      <c r="C6">
        <v>3</v>
      </c>
      <c r="D6">
        <f t="shared" si="0"/>
        <v>188.66666666666666</v>
      </c>
      <c r="E6">
        <v>3906041</v>
      </c>
    </row>
    <row r="7" spans="1:5" x14ac:dyDescent="0.35">
      <c r="A7" t="s">
        <v>272</v>
      </c>
      <c r="B7">
        <v>44867</v>
      </c>
      <c r="C7">
        <v>322</v>
      </c>
      <c r="D7">
        <f t="shared" si="0"/>
        <v>139.3385093167702</v>
      </c>
      <c r="E7">
        <v>9220462</v>
      </c>
    </row>
    <row r="8" spans="1:5" x14ac:dyDescent="0.35">
      <c r="A8" t="s">
        <v>273</v>
      </c>
      <c r="B8">
        <v>4244</v>
      </c>
      <c r="C8">
        <v>37</v>
      </c>
      <c r="D8">
        <f t="shared" si="0"/>
        <v>114.70270270270271</v>
      </c>
      <c r="E8">
        <v>2155162</v>
      </c>
    </row>
    <row r="9" spans="1:5" x14ac:dyDescent="0.35">
      <c r="A9" t="s">
        <v>274</v>
      </c>
      <c r="B9">
        <v>130531</v>
      </c>
      <c r="C9">
        <v>1087</v>
      </c>
      <c r="D9">
        <f t="shared" si="0"/>
        <v>120.08371665133394</v>
      </c>
      <c r="E9">
        <v>9272142</v>
      </c>
    </row>
    <row r="10" spans="1:5" x14ac:dyDescent="0.35">
      <c r="A10" t="s">
        <v>275</v>
      </c>
      <c r="B10">
        <v>1280</v>
      </c>
      <c r="C10">
        <v>13</v>
      </c>
      <c r="D10">
        <f t="shared" si="0"/>
        <v>98.461538461538467</v>
      </c>
      <c r="E10">
        <v>1570074</v>
      </c>
    </row>
    <row r="11" spans="1:5" x14ac:dyDescent="0.35">
      <c r="A11" t="s">
        <v>276</v>
      </c>
      <c r="B11">
        <v>931</v>
      </c>
      <c r="C11">
        <v>5</v>
      </c>
      <c r="D11">
        <f t="shared" si="0"/>
        <v>186.2</v>
      </c>
      <c r="E11">
        <v>2334574</v>
      </c>
    </row>
    <row r="12" spans="1:5" x14ac:dyDescent="0.35">
      <c r="A12" t="s">
        <v>277</v>
      </c>
      <c r="B12">
        <v>19470</v>
      </c>
      <c r="C12">
        <v>35</v>
      </c>
      <c r="D12">
        <f t="shared" si="0"/>
        <v>556.28571428571433</v>
      </c>
      <c r="E12">
        <v>10881514</v>
      </c>
    </row>
    <row r="13" spans="1:5" x14ac:dyDescent="0.35">
      <c r="A13" t="s">
        <v>278</v>
      </c>
      <c r="B13">
        <v>17735</v>
      </c>
      <c r="C13">
        <v>30</v>
      </c>
      <c r="D13">
        <f t="shared" si="0"/>
        <v>591.16666666666663</v>
      </c>
      <c r="E13">
        <v>52211020</v>
      </c>
    </row>
    <row r="14" spans="1:5" x14ac:dyDescent="0.35">
      <c r="A14" t="s">
        <v>279</v>
      </c>
      <c r="B14">
        <v>13750</v>
      </c>
      <c r="C14">
        <v>155</v>
      </c>
      <c r="D14">
        <f t="shared" si="0"/>
        <v>88.709677419354833</v>
      </c>
      <c r="E14">
        <v>38649532</v>
      </c>
    </row>
    <row r="15" spans="1:5" x14ac:dyDescent="0.35">
      <c r="A15" t="s">
        <v>280</v>
      </c>
      <c r="B15">
        <v>3423</v>
      </c>
      <c r="C15">
        <v>30</v>
      </c>
      <c r="D15">
        <f t="shared" si="0"/>
        <v>114.1</v>
      </c>
      <c r="E15">
        <v>3762541</v>
      </c>
    </row>
    <row r="16" spans="1:5" x14ac:dyDescent="0.35">
      <c r="A16" t="s">
        <v>281</v>
      </c>
      <c r="B16">
        <v>104766</v>
      </c>
      <c r="C16">
        <v>431</v>
      </c>
      <c r="D16">
        <f t="shared" si="0"/>
        <v>243.07656612529001</v>
      </c>
      <c r="E16">
        <v>42226212</v>
      </c>
    </row>
    <row r="17" spans="1:5" x14ac:dyDescent="0.35">
      <c r="A17" t="s">
        <v>282</v>
      </c>
      <c r="B17">
        <v>8871</v>
      </c>
      <c r="C17">
        <v>8</v>
      </c>
      <c r="D17">
        <f t="shared" si="0"/>
        <v>1108.875</v>
      </c>
      <c r="E17">
        <v>13173618</v>
      </c>
    </row>
    <row r="18" spans="1:5" x14ac:dyDescent="0.35">
      <c r="A18" t="s">
        <v>283</v>
      </c>
      <c r="B18">
        <v>3799445</v>
      </c>
      <c r="C18">
        <v>4786</v>
      </c>
      <c r="D18">
        <f t="shared" si="0"/>
        <v>793.8664855829503</v>
      </c>
      <c r="E18">
        <v>4404281</v>
      </c>
    </row>
    <row r="19" spans="1:5" x14ac:dyDescent="0.35">
      <c r="A19" t="s">
        <v>284</v>
      </c>
      <c r="B19">
        <v>135471</v>
      </c>
      <c r="C19">
        <v>220</v>
      </c>
      <c r="D19">
        <f t="shared" si="0"/>
        <v>615.7772727272727</v>
      </c>
      <c r="E19">
        <v>5820781</v>
      </c>
    </row>
    <row r="20" spans="1:5" x14ac:dyDescent="0.35">
      <c r="A20" t="s">
        <v>285</v>
      </c>
      <c r="B20">
        <v>4894</v>
      </c>
      <c r="C20">
        <v>34</v>
      </c>
      <c r="D20">
        <f t="shared" si="0"/>
        <v>143.94117647058823</v>
      </c>
      <c r="E20">
        <v>5804428</v>
      </c>
    </row>
    <row r="21" spans="1:5" x14ac:dyDescent="0.35">
      <c r="A21" t="s">
        <v>286</v>
      </c>
      <c r="B21">
        <v>2651</v>
      </c>
      <c r="C21">
        <v>21</v>
      </c>
      <c r="D21">
        <f t="shared" si="0"/>
        <v>126.23809523809524</v>
      </c>
      <c r="E21">
        <v>5710902</v>
      </c>
    </row>
    <row r="22" spans="1:5" x14ac:dyDescent="0.35">
      <c r="A22" t="s">
        <v>287</v>
      </c>
      <c r="B22">
        <v>152732</v>
      </c>
      <c r="C22">
        <v>290</v>
      </c>
      <c r="D22">
        <f t="shared" si="0"/>
        <v>526.66206896551728</v>
      </c>
      <c r="E22">
        <v>2869076</v>
      </c>
    </row>
    <row r="23" spans="1:5" x14ac:dyDescent="0.35">
      <c r="A23" t="s">
        <v>288</v>
      </c>
      <c r="B23">
        <v>24884</v>
      </c>
      <c r="C23">
        <v>12</v>
      </c>
      <c r="D23">
        <f t="shared" si="0"/>
        <v>2073.6666666666665</v>
      </c>
      <c r="E23">
        <v>4355278</v>
      </c>
    </row>
    <row r="24" spans="1:5" x14ac:dyDescent="0.35">
      <c r="A24" t="s">
        <v>289</v>
      </c>
      <c r="B24">
        <v>8888</v>
      </c>
      <c r="C24">
        <v>31</v>
      </c>
      <c r="D24">
        <f t="shared" si="0"/>
        <v>286.70967741935482</v>
      </c>
      <c r="E24">
        <v>4194958</v>
      </c>
    </row>
    <row r="25" spans="1:5" x14ac:dyDescent="0.35">
      <c r="A25" t="s">
        <v>290</v>
      </c>
      <c r="B25">
        <v>320</v>
      </c>
      <c r="C25">
        <v>3</v>
      </c>
      <c r="D25">
        <f t="shared" si="0"/>
        <v>106.66666666666667</v>
      </c>
      <c r="E25">
        <v>786228</v>
      </c>
    </row>
    <row r="26" spans="1:5" x14ac:dyDescent="0.35">
      <c r="A26" t="s">
        <v>291</v>
      </c>
      <c r="B26">
        <v>15938</v>
      </c>
      <c r="C26">
        <v>31</v>
      </c>
      <c r="D26">
        <f t="shared" si="0"/>
        <v>514.12903225806451</v>
      </c>
      <c r="E26">
        <v>2665200</v>
      </c>
    </row>
    <row r="27" spans="1:5" x14ac:dyDescent="0.35">
      <c r="A27" t="s">
        <v>292</v>
      </c>
      <c r="B27">
        <v>114873</v>
      </c>
      <c r="C27">
        <v>110</v>
      </c>
      <c r="D27">
        <f t="shared" si="0"/>
        <v>1044.3</v>
      </c>
      <c r="E27">
        <v>3272504</v>
      </c>
    </row>
    <row r="28" spans="1:5" x14ac:dyDescent="0.35">
      <c r="A28" t="s">
        <v>293</v>
      </c>
      <c r="B28">
        <v>64809</v>
      </c>
      <c r="C28">
        <v>129</v>
      </c>
      <c r="D28">
        <f t="shared" si="0"/>
        <v>502.39534883720933</v>
      </c>
      <c r="E28">
        <v>9632745</v>
      </c>
    </row>
    <row r="29" spans="1:5" x14ac:dyDescent="0.35">
      <c r="A29" t="s">
        <v>294</v>
      </c>
      <c r="B29">
        <v>53776</v>
      </c>
      <c r="C29">
        <v>416</v>
      </c>
      <c r="D29">
        <f t="shared" si="0"/>
        <v>129.26923076923077</v>
      </c>
      <c r="E29">
        <v>2876526</v>
      </c>
    </row>
    <row r="30" spans="1:5" x14ac:dyDescent="0.35">
      <c r="A30" t="s">
        <v>295</v>
      </c>
      <c r="B30">
        <v>4230</v>
      </c>
      <c r="C30">
        <v>63</v>
      </c>
      <c r="D30">
        <f t="shared" si="0"/>
        <v>67.142857142857139</v>
      </c>
      <c r="E30">
        <v>1263405</v>
      </c>
    </row>
    <row r="31" spans="1:5" x14ac:dyDescent="0.35">
      <c r="A31" t="s">
        <v>296</v>
      </c>
      <c r="B31">
        <v>19224</v>
      </c>
      <c r="C31">
        <v>34</v>
      </c>
      <c r="D31">
        <f t="shared" si="0"/>
        <v>565.41176470588232</v>
      </c>
      <c r="E31">
        <v>1484768</v>
      </c>
    </row>
    <row r="32" spans="1:5" x14ac:dyDescent="0.35">
      <c r="A32" t="s">
        <v>297</v>
      </c>
      <c r="B32">
        <v>8142</v>
      </c>
      <c r="C32">
        <v>32</v>
      </c>
      <c r="D32">
        <f t="shared" si="0"/>
        <v>254.4375</v>
      </c>
      <c r="E32">
        <v>1961977</v>
      </c>
    </row>
    <row r="33" spans="1:5" x14ac:dyDescent="0.35">
      <c r="A33" t="s">
        <v>298</v>
      </c>
      <c r="B33">
        <v>113</v>
      </c>
      <c r="C33">
        <v>1</v>
      </c>
      <c r="D33">
        <f t="shared" si="0"/>
        <v>113</v>
      </c>
      <c r="E33">
        <v>1426571</v>
      </c>
    </row>
    <row r="34" spans="1:5" x14ac:dyDescent="0.35">
      <c r="A34" t="s">
        <v>299</v>
      </c>
      <c r="B34">
        <v>1348</v>
      </c>
      <c r="C34">
        <v>27</v>
      </c>
      <c r="D34">
        <f t="shared" si="0"/>
        <v>49.925925925925924</v>
      </c>
      <c r="E34">
        <v>1122097</v>
      </c>
    </row>
    <row r="35" spans="1:5" x14ac:dyDescent="0.35">
      <c r="A35" t="s">
        <v>300</v>
      </c>
      <c r="B35">
        <v>590</v>
      </c>
      <c r="C35">
        <v>28</v>
      </c>
      <c r="D35">
        <f t="shared" si="0"/>
        <v>21.071428571428573</v>
      </c>
      <c r="E35">
        <v>588491</v>
      </c>
    </row>
    <row r="36" spans="1:5" x14ac:dyDescent="0.35">
      <c r="A36" t="s">
        <v>301</v>
      </c>
      <c r="B36">
        <v>538</v>
      </c>
      <c r="C36">
        <v>0</v>
      </c>
      <c r="D36">
        <v>0</v>
      </c>
      <c r="E36">
        <v>588837</v>
      </c>
    </row>
    <row r="37" spans="1:5" x14ac:dyDescent="0.35">
      <c r="A37" t="s">
        <v>302</v>
      </c>
      <c r="B37">
        <v>919</v>
      </c>
      <c r="C37">
        <v>0</v>
      </c>
      <c r="D37">
        <v>0</v>
      </c>
      <c r="E37">
        <v>1384227</v>
      </c>
    </row>
    <row r="38" spans="1:5" x14ac:dyDescent="0.35">
      <c r="A38" t="s">
        <v>303</v>
      </c>
      <c r="B38">
        <v>163</v>
      </c>
      <c r="C38">
        <v>0</v>
      </c>
      <c r="D38">
        <v>0</v>
      </c>
      <c r="E38">
        <v>1481059</v>
      </c>
    </row>
    <row r="39" spans="1:5" x14ac:dyDescent="0.35">
      <c r="A39" t="s">
        <v>266</v>
      </c>
      <c r="B39">
        <v>616</v>
      </c>
      <c r="C39">
        <v>0</v>
      </c>
      <c r="D39">
        <v>0</v>
      </c>
      <c r="E39">
        <v>632788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B626-E397-4D40-93FB-23B3814BB4B3}">
  <dimension ref="A1:K19"/>
  <sheetViews>
    <sheetView topLeftCell="A13" zoomScale="96" workbookViewId="0">
      <selection activeCell="E17" sqref="E17"/>
    </sheetView>
  </sheetViews>
  <sheetFormatPr defaultRowHeight="14.5" x14ac:dyDescent="0.35"/>
  <cols>
    <col min="1" max="1" width="13.453125" customWidth="1"/>
    <col min="2" max="3" width="13.26953125" customWidth="1"/>
    <col min="4" max="4" width="9.7265625" customWidth="1"/>
    <col min="5" max="5" width="13.7265625" customWidth="1"/>
    <col min="6" max="6" width="25.36328125" customWidth="1"/>
    <col min="7" max="7" width="23" customWidth="1"/>
    <col min="8" max="8" width="41.1796875" customWidth="1"/>
    <col min="9" max="9" width="7.7265625" customWidth="1"/>
    <col min="10" max="10" width="18.36328125" customWidth="1"/>
    <col min="11" max="11" width="41.1796875" customWidth="1"/>
  </cols>
  <sheetData>
    <row r="1" spans="1:11" x14ac:dyDescent="0.35">
      <c r="A1" t="s">
        <v>1</v>
      </c>
      <c r="B1" t="s">
        <v>6</v>
      </c>
      <c r="C1" t="s">
        <v>15</v>
      </c>
      <c r="D1" t="s">
        <v>8</v>
      </c>
      <c r="E1" t="s">
        <v>7</v>
      </c>
      <c r="F1" t="s">
        <v>9</v>
      </c>
      <c r="G1" t="s">
        <v>11</v>
      </c>
      <c r="H1" t="s">
        <v>10</v>
      </c>
      <c r="I1" t="s">
        <v>400</v>
      </c>
      <c r="J1" t="s">
        <v>12</v>
      </c>
      <c r="K1" t="s">
        <v>399</v>
      </c>
    </row>
    <row r="2" spans="1:11" ht="47.5" customHeight="1" x14ac:dyDescent="0.35">
      <c r="A2" s="2" t="s">
        <v>309</v>
      </c>
      <c r="B2" s="2" t="s">
        <v>314</v>
      </c>
      <c r="C2" s="2" t="str">
        <f>"SDHD Banjar "&amp;A2</f>
        <v>SDHD Banjar Jakarta Pusat</v>
      </c>
      <c r="D2" s="3">
        <v>-6.1731660000000002</v>
      </c>
      <c r="E2" s="3">
        <v>106.81561600000001</v>
      </c>
      <c r="F2" s="2" t="s">
        <v>315</v>
      </c>
      <c r="G2" s="2" t="s">
        <v>316</v>
      </c>
      <c r="H2" s="2" t="s">
        <v>317</v>
      </c>
      <c r="I2" s="2" t="s">
        <v>401</v>
      </c>
      <c r="J2" s="2" t="s">
        <v>402</v>
      </c>
      <c r="K2" s="4" t="s">
        <v>318</v>
      </c>
    </row>
    <row r="3" spans="1:11" ht="40" customHeight="1" x14ac:dyDescent="0.35">
      <c r="A3" s="2" t="s">
        <v>309</v>
      </c>
      <c r="B3" s="2" t="s">
        <v>319</v>
      </c>
      <c r="C3" s="2" t="str">
        <f t="shared" ref="C3:C19" si="0">"SDHD Banjar "&amp;A3</f>
        <v>SDHD Banjar Jakarta Pusat</v>
      </c>
      <c r="D3" s="3">
        <v>-6.1578090000000003</v>
      </c>
      <c r="E3" s="3">
        <v>106.844461</v>
      </c>
      <c r="F3" s="2" t="s">
        <v>320</v>
      </c>
      <c r="G3" s="2"/>
      <c r="H3" s="2" t="s">
        <v>321</v>
      </c>
      <c r="I3" s="2" t="s">
        <v>145</v>
      </c>
      <c r="J3" s="2" t="s">
        <v>403</v>
      </c>
      <c r="K3" s="4" t="s">
        <v>323</v>
      </c>
    </row>
    <row r="4" spans="1:11" ht="34.5" customHeight="1" x14ac:dyDescent="0.35">
      <c r="A4" s="2" t="s">
        <v>309</v>
      </c>
      <c r="B4" s="2" t="s">
        <v>324</v>
      </c>
      <c r="C4" s="2" t="str">
        <f t="shared" si="0"/>
        <v>SDHD Banjar Jakarta Pusat</v>
      </c>
      <c r="D4" s="3">
        <v>-6.1923390412057104</v>
      </c>
      <c r="E4" s="3">
        <v>106.836868190492</v>
      </c>
      <c r="F4" s="2" t="s">
        <v>325</v>
      </c>
      <c r="G4" s="2"/>
      <c r="H4" s="2" t="s">
        <v>326</v>
      </c>
      <c r="I4" s="2" t="s">
        <v>145</v>
      </c>
      <c r="J4" s="2" t="s">
        <v>403</v>
      </c>
      <c r="K4" s="4" t="s">
        <v>327</v>
      </c>
    </row>
    <row r="5" spans="1:11" ht="36.5" customHeight="1" x14ac:dyDescent="0.35">
      <c r="A5" s="2" t="s">
        <v>309</v>
      </c>
      <c r="B5" s="2" t="s">
        <v>328</v>
      </c>
      <c r="C5" s="2" t="str">
        <f t="shared" si="0"/>
        <v>SDHD Banjar Jakarta Pusat</v>
      </c>
      <c r="D5" s="3">
        <v>-6.1622925928582202</v>
      </c>
      <c r="E5" s="3">
        <v>106.83475605090101</v>
      </c>
      <c r="F5" s="2" t="s">
        <v>329</v>
      </c>
      <c r="G5" s="2"/>
      <c r="H5" s="2" t="s">
        <v>330</v>
      </c>
      <c r="I5" s="2" t="s">
        <v>145</v>
      </c>
      <c r="J5" s="2" t="s">
        <v>322</v>
      </c>
      <c r="K5" s="4" t="s">
        <v>331</v>
      </c>
    </row>
    <row r="6" spans="1:11" ht="47" customHeight="1" x14ac:dyDescent="0.35">
      <c r="A6" s="2" t="s">
        <v>308</v>
      </c>
      <c r="B6" s="2" t="s">
        <v>332</v>
      </c>
      <c r="C6" s="2" t="str">
        <f t="shared" si="0"/>
        <v>SDHD Banjar Jakarta Timur</v>
      </c>
      <c r="D6" s="3">
        <v>-6.1957571314828899</v>
      </c>
      <c r="E6" s="3">
        <v>106.875154817725</v>
      </c>
      <c r="F6" s="2" t="s">
        <v>333</v>
      </c>
      <c r="G6" s="2" t="s">
        <v>334</v>
      </c>
      <c r="H6" s="2" t="s">
        <v>335</v>
      </c>
      <c r="I6" s="2" t="s">
        <v>401</v>
      </c>
      <c r="J6" s="2" t="s">
        <v>322</v>
      </c>
      <c r="K6" s="4" t="s">
        <v>336</v>
      </c>
    </row>
    <row r="7" spans="1:11" ht="64.5" customHeight="1" x14ac:dyDescent="0.35">
      <c r="A7" s="2" t="s">
        <v>308</v>
      </c>
      <c r="B7" s="2" t="s">
        <v>337</v>
      </c>
      <c r="C7" s="2" t="str">
        <f t="shared" si="0"/>
        <v>SDHD Banjar Jakarta Timur</v>
      </c>
      <c r="D7" s="3">
        <v>-6.3033174639139897</v>
      </c>
      <c r="E7" s="3">
        <v>106.893851231692</v>
      </c>
      <c r="F7" s="2" t="s">
        <v>338</v>
      </c>
      <c r="G7" s="2" t="s">
        <v>339</v>
      </c>
      <c r="H7" s="2" t="s">
        <v>340</v>
      </c>
      <c r="I7" s="2" t="s">
        <v>401</v>
      </c>
      <c r="J7" s="2" t="s">
        <v>322</v>
      </c>
      <c r="K7" s="4" t="s">
        <v>341</v>
      </c>
    </row>
    <row r="8" spans="1:11" ht="38" customHeight="1" x14ac:dyDescent="0.35">
      <c r="A8" s="2" t="s">
        <v>308</v>
      </c>
      <c r="B8" s="2" t="s">
        <v>342</v>
      </c>
      <c r="C8" s="2" t="str">
        <f t="shared" si="0"/>
        <v>SDHD Banjar Jakarta Timur</v>
      </c>
      <c r="D8" s="3">
        <v>-6.3150215431935797</v>
      </c>
      <c r="E8" s="3">
        <v>106.857315156005</v>
      </c>
      <c r="F8" s="2" t="s">
        <v>343</v>
      </c>
      <c r="G8" s="2" t="s">
        <v>344</v>
      </c>
      <c r="H8" s="2" t="s">
        <v>345</v>
      </c>
      <c r="I8" s="2" t="s">
        <v>401</v>
      </c>
      <c r="J8" s="2" t="s">
        <v>402</v>
      </c>
      <c r="K8" s="4" t="s">
        <v>346</v>
      </c>
    </row>
    <row r="9" spans="1:11" ht="36" customHeight="1" x14ac:dyDescent="0.35">
      <c r="A9" s="2" t="s">
        <v>308</v>
      </c>
      <c r="B9" s="2" t="s">
        <v>347</v>
      </c>
      <c r="C9" s="2" t="str">
        <f t="shared" si="0"/>
        <v>SDHD Banjar Jakarta Timur</v>
      </c>
      <c r="D9" s="3">
        <v>-6.3629690261611298</v>
      </c>
      <c r="E9" s="3">
        <v>106.898107106022</v>
      </c>
      <c r="F9" s="2" t="s">
        <v>348</v>
      </c>
      <c r="G9" s="2" t="s">
        <v>349</v>
      </c>
      <c r="H9" s="2" t="s">
        <v>350</v>
      </c>
      <c r="I9" s="2" t="s">
        <v>401</v>
      </c>
      <c r="J9" s="2" t="s">
        <v>322</v>
      </c>
      <c r="K9" s="4" t="s">
        <v>351</v>
      </c>
    </row>
    <row r="10" spans="1:11" ht="78.5" customHeight="1" x14ac:dyDescent="0.35">
      <c r="A10" s="2" t="s">
        <v>308</v>
      </c>
      <c r="B10" s="2" t="s">
        <v>352</v>
      </c>
      <c r="C10" s="2" t="str">
        <f t="shared" si="0"/>
        <v>SDHD Banjar Jakarta Timur</v>
      </c>
      <c r="D10" s="3">
        <v>-6.2494105688928601</v>
      </c>
      <c r="E10" s="3">
        <v>106.89637195351401</v>
      </c>
      <c r="F10" s="2" t="s">
        <v>353</v>
      </c>
      <c r="G10" s="2" t="s">
        <v>354</v>
      </c>
      <c r="H10" s="2" t="s">
        <v>355</v>
      </c>
      <c r="I10" s="2" t="s">
        <v>401</v>
      </c>
      <c r="J10" s="2" t="s">
        <v>402</v>
      </c>
      <c r="K10" s="4" t="s">
        <v>356</v>
      </c>
    </row>
    <row r="11" spans="1:11" ht="50" customHeight="1" x14ac:dyDescent="0.35">
      <c r="A11" s="2" t="s">
        <v>311</v>
      </c>
      <c r="B11" s="2" t="s">
        <v>357</v>
      </c>
      <c r="C11" s="2" t="str">
        <f t="shared" si="0"/>
        <v>SDHD Banjar Jakarta Utara</v>
      </c>
      <c r="D11" s="3">
        <v>-6.1098401294652698</v>
      </c>
      <c r="E11" s="3">
        <v>106.919897144186</v>
      </c>
      <c r="F11" s="2" t="s">
        <v>358</v>
      </c>
      <c r="G11" s="2" t="s">
        <v>359</v>
      </c>
      <c r="H11" s="2" t="s">
        <v>360</v>
      </c>
      <c r="I11" s="2" t="s">
        <v>401</v>
      </c>
      <c r="J11" s="2" t="s">
        <v>322</v>
      </c>
      <c r="K11" s="4" t="s">
        <v>361</v>
      </c>
    </row>
    <row r="12" spans="1:11" ht="35.5" customHeight="1" x14ac:dyDescent="0.35">
      <c r="A12" s="2" t="s">
        <v>311</v>
      </c>
      <c r="B12" s="2" t="s">
        <v>362</v>
      </c>
      <c r="C12" s="2" t="str">
        <f t="shared" si="0"/>
        <v>SDHD Banjar Jakarta Utara</v>
      </c>
      <c r="D12" s="3">
        <v>-6.1253204698448496</v>
      </c>
      <c r="E12" s="3">
        <v>106.784465693952</v>
      </c>
      <c r="F12" s="2" t="s">
        <v>363</v>
      </c>
      <c r="G12" s="2"/>
      <c r="H12" s="2" t="s">
        <v>364</v>
      </c>
      <c r="I12" s="2" t="s">
        <v>145</v>
      </c>
      <c r="J12" s="2" t="s">
        <v>322</v>
      </c>
      <c r="K12" s="4" t="s">
        <v>365</v>
      </c>
    </row>
    <row r="13" spans="1:11" ht="68.5" customHeight="1" x14ac:dyDescent="0.35">
      <c r="A13" s="2" t="s">
        <v>311</v>
      </c>
      <c r="B13" s="2" t="s">
        <v>357</v>
      </c>
      <c r="C13" s="2" t="str">
        <f t="shared" si="0"/>
        <v>SDHD Banjar Jakarta Utara</v>
      </c>
      <c r="D13" s="3">
        <v>-6.0976316965533002</v>
      </c>
      <c r="E13" s="3">
        <v>106.93805341657</v>
      </c>
      <c r="F13" s="2" t="s">
        <v>366</v>
      </c>
      <c r="G13" s="2" t="s">
        <v>367</v>
      </c>
      <c r="H13" s="2" t="s">
        <v>368</v>
      </c>
      <c r="I13" s="2" t="s">
        <v>401</v>
      </c>
      <c r="J13" s="2" t="s">
        <v>322</v>
      </c>
      <c r="K13" s="4" t="s">
        <v>369</v>
      </c>
    </row>
    <row r="14" spans="1:11" ht="48" customHeight="1" x14ac:dyDescent="0.35">
      <c r="A14" s="2" t="s">
        <v>310</v>
      </c>
      <c r="B14" s="2" t="s">
        <v>370</v>
      </c>
      <c r="C14" s="2" t="str">
        <f t="shared" si="0"/>
        <v>SDHD Banjar Jakarta Barat</v>
      </c>
      <c r="D14" s="3">
        <v>-6.1466244296846</v>
      </c>
      <c r="E14" s="3">
        <v>106.708434920698</v>
      </c>
      <c r="F14" s="2" t="s">
        <v>371</v>
      </c>
      <c r="G14" s="2"/>
      <c r="H14" s="2" t="s">
        <v>372</v>
      </c>
      <c r="I14" s="2" t="s">
        <v>145</v>
      </c>
      <c r="J14" s="2" t="s">
        <v>403</v>
      </c>
      <c r="K14" s="4" t="s">
        <v>373</v>
      </c>
    </row>
    <row r="15" spans="1:11" ht="56.5" customHeight="1" x14ac:dyDescent="0.35">
      <c r="A15" s="2" t="s">
        <v>310</v>
      </c>
      <c r="B15" s="2" t="s">
        <v>374</v>
      </c>
      <c r="C15" s="2" t="str">
        <f t="shared" si="0"/>
        <v>SDHD Banjar Jakarta Barat</v>
      </c>
      <c r="D15" s="3">
        <v>-6.1570493204921704</v>
      </c>
      <c r="E15" s="3">
        <v>106.77877799832601</v>
      </c>
      <c r="F15" s="2" t="s">
        <v>375</v>
      </c>
      <c r="G15" s="2" t="s">
        <v>376</v>
      </c>
      <c r="H15" s="2" t="s">
        <v>377</v>
      </c>
      <c r="I15" s="2" t="s">
        <v>401</v>
      </c>
      <c r="J15" s="2" t="s">
        <v>322</v>
      </c>
      <c r="K15" s="4" t="s">
        <v>378</v>
      </c>
    </row>
    <row r="16" spans="1:11" ht="54.5" customHeight="1" x14ac:dyDescent="0.35">
      <c r="A16" s="2" t="s">
        <v>307</v>
      </c>
      <c r="B16" s="2" t="s">
        <v>379</v>
      </c>
      <c r="C16" s="2" t="str">
        <f t="shared" si="0"/>
        <v>SDHD Banjar Jakarta Selatan</v>
      </c>
      <c r="D16" s="3">
        <v>-6.2634128476849096</v>
      </c>
      <c r="E16" s="3">
        <v>106.838830253662</v>
      </c>
      <c r="F16" s="2" t="s">
        <v>380</v>
      </c>
      <c r="G16" s="2" t="s">
        <v>381</v>
      </c>
      <c r="H16" s="2" t="s">
        <v>382</v>
      </c>
      <c r="I16" s="2" t="s">
        <v>401</v>
      </c>
      <c r="J16" t="s">
        <v>403</v>
      </c>
      <c r="K16" s="4" t="s">
        <v>383</v>
      </c>
    </row>
    <row r="17" spans="1:11" ht="52" customHeight="1" x14ac:dyDescent="0.35">
      <c r="A17" s="2" t="s">
        <v>307</v>
      </c>
      <c r="B17" s="2" t="s">
        <v>384</v>
      </c>
      <c r="C17" s="2" t="str">
        <f t="shared" si="0"/>
        <v>SDHD Banjar Jakarta Selatan</v>
      </c>
      <c r="D17" s="3">
        <v>-6.2897196451598001</v>
      </c>
      <c r="E17" s="3">
        <v>106.767830559831</v>
      </c>
      <c r="F17" s="2" t="s">
        <v>385</v>
      </c>
      <c r="G17" s="2" t="s">
        <v>386</v>
      </c>
      <c r="H17" s="2" t="s">
        <v>387</v>
      </c>
      <c r="I17" s="2" t="s">
        <v>401</v>
      </c>
      <c r="J17" s="2" t="s">
        <v>404</v>
      </c>
      <c r="K17" s="4" t="s">
        <v>388</v>
      </c>
    </row>
    <row r="18" spans="1:11" ht="51.5" customHeight="1" x14ac:dyDescent="0.35">
      <c r="A18" s="2" t="s">
        <v>307</v>
      </c>
      <c r="B18" s="2" t="s">
        <v>389</v>
      </c>
      <c r="C18" s="2" t="str">
        <f t="shared" si="0"/>
        <v>SDHD Banjar Jakarta Selatan</v>
      </c>
      <c r="D18" s="3">
        <v>-6.3405643421481601</v>
      </c>
      <c r="E18" s="3">
        <v>106.831194682762</v>
      </c>
      <c r="F18" s="2" t="s">
        <v>390</v>
      </c>
      <c r="G18" s="2" t="s">
        <v>391</v>
      </c>
      <c r="H18" s="2" t="s">
        <v>392</v>
      </c>
      <c r="I18" s="2" t="s">
        <v>401</v>
      </c>
      <c r="J18" s="2" t="s">
        <v>403</v>
      </c>
      <c r="K18" s="4" t="s">
        <v>393</v>
      </c>
    </row>
    <row r="19" spans="1:11" ht="48.5" customHeight="1" x14ac:dyDescent="0.35">
      <c r="A19" s="2" t="s">
        <v>307</v>
      </c>
      <c r="B19" s="2" t="s">
        <v>394</v>
      </c>
      <c r="C19" s="2" t="str">
        <f t="shared" si="0"/>
        <v>SDHD Banjar Jakarta Selatan</v>
      </c>
      <c r="D19" s="3">
        <v>-6.3007040026302796</v>
      </c>
      <c r="E19" s="3">
        <v>106.812366772302</v>
      </c>
      <c r="F19" s="2" t="s">
        <v>395</v>
      </c>
      <c r="G19" s="2" t="s">
        <v>396</v>
      </c>
      <c r="H19" s="2" t="s">
        <v>397</v>
      </c>
      <c r="I19" s="2" t="s">
        <v>401</v>
      </c>
      <c r="J19" s="2" t="s">
        <v>402</v>
      </c>
      <c r="K19" s="4" t="s">
        <v>398</v>
      </c>
    </row>
  </sheetData>
  <hyperlinks>
    <hyperlink ref="K2" r:id="rId1" xr:uid="{5C1C7C9C-6537-4334-B26F-A04EF3CCDE3F}"/>
    <hyperlink ref="K3" r:id="rId2" xr:uid="{FF5A16FC-5692-4082-8449-9AF3431364C2}"/>
    <hyperlink ref="K4" r:id="rId3" xr:uid="{9A9B8B53-49D3-460F-93B5-A089300DBFB1}"/>
    <hyperlink ref="K5" r:id="rId4" xr:uid="{452CD539-4C65-4BAE-8DEC-CE169DA7C45E}"/>
    <hyperlink ref="K6" r:id="rId5" xr:uid="{0A40889B-A068-4FF2-914D-8163543AC6AE}"/>
    <hyperlink ref="K7" r:id="rId6" xr:uid="{7687DC3A-AE8D-4C6D-B05F-98ADBBDB8826}"/>
    <hyperlink ref="K8" r:id="rId7" xr:uid="{53EF66FD-19A8-491F-B411-0031C04EB2E3}"/>
    <hyperlink ref="K9" r:id="rId8" xr:uid="{5CDE7B52-5B01-4BB4-BE76-B284560914C6}"/>
    <hyperlink ref="K10" r:id="rId9" xr:uid="{B7F31567-0A86-4F2E-A253-C605FAF71748}"/>
    <hyperlink ref="K11" r:id="rId10" xr:uid="{0057F548-25BB-4682-A42F-DAB86232699D}"/>
    <hyperlink ref="K12" r:id="rId11" xr:uid="{0069D2E1-8D91-4E22-B4E3-965C6EF8381C}"/>
    <hyperlink ref="K13" r:id="rId12" xr:uid="{F894EFA3-2E3D-4FDF-B558-6CB0679EDACC}"/>
    <hyperlink ref="K14" r:id="rId13" xr:uid="{57DB4A79-F1C5-4F89-ACA5-CC8EC4C4E4BC}"/>
    <hyperlink ref="K15" r:id="rId14" xr:uid="{75E9AFD0-70CA-4C33-A6BE-8718AC19B8D3}"/>
    <hyperlink ref="K16" r:id="rId15" xr:uid="{1534460C-9719-444A-8D57-4659CB87630A}"/>
    <hyperlink ref="K17" r:id="rId16" xr:uid="{6032FB3B-83FE-4F9C-A110-9A3DBADA9086}"/>
    <hyperlink ref="K18" r:id="rId17" xr:uid="{739B426E-3E9C-4728-A32A-5029271162D6}"/>
    <hyperlink ref="K19" r:id="rId18" xr:uid="{00496F4F-B377-4E9A-9EEF-9C9BF7F3C9EB}"/>
  </hyperlinks>
  <pageMargins left="0.7" right="0.7" top="0.75" bottom="0.75" header="0.3" footer="0.3"/>
  <pageSetup paperSize="9" orientation="portrait"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33A7-72B7-4E30-91C4-54F02FC1D18D}">
  <dimension ref="A1:E31"/>
  <sheetViews>
    <sheetView workbookViewId="0">
      <selection activeCell="G24" sqref="G24"/>
    </sheetView>
  </sheetViews>
  <sheetFormatPr defaultRowHeight="14.5" x14ac:dyDescent="0.35"/>
  <cols>
    <col min="1" max="1" width="5.453125" bestFit="1" customWidth="1"/>
    <col min="2" max="2" width="13.1796875" bestFit="1" customWidth="1"/>
    <col min="3" max="3" width="10.7265625" bestFit="1" customWidth="1"/>
    <col min="4" max="4" width="10" bestFit="1" customWidth="1"/>
    <col min="5" max="5" width="13.08984375" bestFit="1" customWidth="1"/>
    <col min="6" max="6" width="14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2020</v>
      </c>
      <c r="B2" t="s">
        <v>306</v>
      </c>
      <c r="C2">
        <v>0</v>
      </c>
      <c r="D2">
        <v>0</v>
      </c>
      <c r="E2">
        <v>0</v>
      </c>
    </row>
    <row r="3" spans="1:5" x14ac:dyDescent="0.35">
      <c r="A3">
        <v>2020</v>
      </c>
      <c r="B3" t="s">
        <v>307</v>
      </c>
      <c r="C3">
        <v>3812</v>
      </c>
      <c r="D3">
        <v>5</v>
      </c>
      <c r="E3">
        <f>C3/D3</f>
        <v>762.4</v>
      </c>
    </row>
    <row r="4" spans="1:5" x14ac:dyDescent="0.35">
      <c r="A4">
        <v>2020</v>
      </c>
      <c r="B4" t="s">
        <v>308</v>
      </c>
      <c r="C4">
        <v>5521</v>
      </c>
      <c r="D4">
        <v>7</v>
      </c>
      <c r="E4">
        <f t="shared" ref="E4:E31" si="0">C4/D4</f>
        <v>788.71428571428567</v>
      </c>
    </row>
    <row r="5" spans="1:5" x14ac:dyDescent="0.35">
      <c r="A5">
        <v>2020</v>
      </c>
      <c r="B5" t="s">
        <v>309</v>
      </c>
      <c r="C5">
        <v>3889</v>
      </c>
      <c r="D5">
        <v>11</v>
      </c>
      <c r="E5">
        <f t="shared" si="0"/>
        <v>353.54545454545456</v>
      </c>
    </row>
    <row r="6" spans="1:5" x14ac:dyDescent="0.35">
      <c r="A6">
        <v>2020</v>
      </c>
      <c r="B6" t="s">
        <v>310</v>
      </c>
      <c r="C6">
        <v>2785</v>
      </c>
      <c r="D6">
        <v>2</v>
      </c>
      <c r="E6">
        <f t="shared" si="0"/>
        <v>1392.5</v>
      </c>
    </row>
    <row r="7" spans="1:5" x14ac:dyDescent="0.35">
      <c r="A7">
        <v>2020</v>
      </c>
      <c r="B7" t="s">
        <v>311</v>
      </c>
      <c r="C7">
        <v>4288</v>
      </c>
      <c r="D7">
        <v>10</v>
      </c>
      <c r="E7">
        <f t="shared" si="0"/>
        <v>428.8</v>
      </c>
    </row>
    <row r="8" spans="1:5" x14ac:dyDescent="0.35">
      <c r="A8">
        <v>2021</v>
      </c>
      <c r="B8" t="s">
        <v>306</v>
      </c>
      <c r="C8">
        <v>0</v>
      </c>
      <c r="D8">
        <v>0</v>
      </c>
      <c r="E8">
        <v>0</v>
      </c>
    </row>
    <row r="9" spans="1:5" x14ac:dyDescent="0.35">
      <c r="A9">
        <v>2021</v>
      </c>
      <c r="B9" t="s">
        <v>307</v>
      </c>
      <c r="C9">
        <v>3831</v>
      </c>
      <c r="D9">
        <v>5</v>
      </c>
      <c r="E9">
        <f t="shared" si="0"/>
        <v>766.2</v>
      </c>
    </row>
    <row r="10" spans="1:5" x14ac:dyDescent="0.35">
      <c r="A10">
        <v>2021</v>
      </c>
      <c r="B10" t="s">
        <v>308</v>
      </c>
      <c r="C10">
        <v>5557</v>
      </c>
      <c r="D10">
        <v>7</v>
      </c>
      <c r="E10">
        <f t="shared" si="0"/>
        <v>793.85714285714289</v>
      </c>
    </row>
    <row r="11" spans="1:5" x14ac:dyDescent="0.35">
      <c r="A11">
        <v>2021</v>
      </c>
      <c r="B11" t="s">
        <v>309</v>
      </c>
      <c r="C11">
        <v>3816</v>
      </c>
      <c r="D11">
        <v>11</v>
      </c>
      <c r="E11">
        <f t="shared" si="0"/>
        <v>346.90909090909093</v>
      </c>
    </row>
    <row r="12" spans="1:5" x14ac:dyDescent="0.35">
      <c r="A12">
        <v>2021</v>
      </c>
      <c r="B12" t="s">
        <v>310</v>
      </c>
      <c r="C12">
        <v>2807</v>
      </c>
      <c r="D12">
        <v>2</v>
      </c>
      <c r="E12">
        <f t="shared" si="0"/>
        <v>1403.5</v>
      </c>
    </row>
    <row r="13" spans="1:5" x14ac:dyDescent="0.35">
      <c r="A13">
        <v>2021</v>
      </c>
      <c r="B13" t="s">
        <v>311</v>
      </c>
      <c r="C13">
        <v>4332</v>
      </c>
      <c r="D13">
        <v>10</v>
      </c>
      <c r="E13">
        <f t="shared" si="0"/>
        <v>433.2</v>
      </c>
    </row>
    <row r="14" spans="1:5" x14ac:dyDescent="0.35">
      <c r="A14">
        <v>2022</v>
      </c>
      <c r="B14" t="s">
        <v>306</v>
      </c>
      <c r="C14">
        <v>0</v>
      </c>
      <c r="D14">
        <v>0</v>
      </c>
      <c r="E14">
        <v>0</v>
      </c>
    </row>
    <row r="15" spans="1:5" x14ac:dyDescent="0.35">
      <c r="A15">
        <v>2022</v>
      </c>
      <c r="B15" t="s">
        <v>307</v>
      </c>
      <c r="C15">
        <v>3831</v>
      </c>
      <c r="D15">
        <v>5</v>
      </c>
      <c r="E15">
        <f t="shared" si="0"/>
        <v>766.2</v>
      </c>
    </row>
    <row r="16" spans="1:5" x14ac:dyDescent="0.35">
      <c r="A16">
        <v>2022</v>
      </c>
      <c r="B16" t="s">
        <v>308</v>
      </c>
      <c r="C16">
        <v>5571</v>
      </c>
      <c r="D16">
        <v>7</v>
      </c>
      <c r="E16">
        <f t="shared" si="0"/>
        <v>795.85714285714289</v>
      </c>
    </row>
    <row r="17" spans="1:5" x14ac:dyDescent="0.35">
      <c r="A17">
        <v>2022</v>
      </c>
      <c r="B17" t="s">
        <v>309</v>
      </c>
      <c r="C17">
        <v>3714</v>
      </c>
      <c r="D17">
        <v>11</v>
      </c>
      <c r="E17">
        <f t="shared" si="0"/>
        <v>337.63636363636363</v>
      </c>
    </row>
    <row r="18" spans="1:5" x14ac:dyDescent="0.35">
      <c r="A18">
        <v>2022</v>
      </c>
      <c r="B18" t="s">
        <v>310</v>
      </c>
      <c r="C18">
        <v>2780</v>
      </c>
      <c r="D18">
        <v>2</v>
      </c>
      <c r="E18">
        <f t="shared" si="0"/>
        <v>1390</v>
      </c>
    </row>
    <row r="19" spans="1:5" x14ac:dyDescent="0.35">
      <c r="A19">
        <v>2022</v>
      </c>
      <c r="B19" t="s">
        <v>311</v>
      </c>
      <c r="C19">
        <v>4366</v>
      </c>
      <c r="D19">
        <v>10</v>
      </c>
      <c r="E19">
        <f t="shared" si="0"/>
        <v>436.6</v>
      </c>
    </row>
    <row r="20" spans="1:5" x14ac:dyDescent="0.35">
      <c r="A20">
        <v>2023</v>
      </c>
      <c r="B20" t="s">
        <v>306</v>
      </c>
      <c r="C20">
        <v>0</v>
      </c>
      <c r="D20">
        <v>0</v>
      </c>
      <c r="E20">
        <v>0</v>
      </c>
    </row>
    <row r="21" spans="1:5" x14ac:dyDescent="0.35">
      <c r="A21">
        <v>2023</v>
      </c>
      <c r="B21" t="s">
        <v>307</v>
      </c>
      <c r="C21">
        <v>3796</v>
      </c>
      <c r="D21">
        <v>5</v>
      </c>
      <c r="E21">
        <f t="shared" si="0"/>
        <v>759.2</v>
      </c>
    </row>
    <row r="22" spans="1:5" x14ac:dyDescent="0.35">
      <c r="A22">
        <v>2023</v>
      </c>
      <c r="B22" t="s">
        <v>308</v>
      </c>
      <c r="C22">
        <v>5620</v>
      </c>
      <c r="D22">
        <v>7</v>
      </c>
      <c r="E22">
        <f t="shared" si="0"/>
        <v>802.85714285714289</v>
      </c>
    </row>
    <row r="23" spans="1:5" x14ac:dyDescent="0.35">
      <c r="A23">
        <v>2023</v>
      </c>
      <c r="B23" t="s">
        <v>309</v>
      </c>
      <c r="C23">
        <v>3690</v>
      </c>
      <c r="D23">
        <v>11</v>
      </c>
      <c r="E23">
        <f t="shared" si="0"/>
        <v>335.45454545454544</v>
      </c>
    </row>
    <row r="24" spans="1:5" x14ac:dyDescent="0.35">
      <c r="A24">
        <v>2023</v>
      </c>
      <c r="B24" t="s">
        <v>310</v>
      </c>
      <c r="C24">
        <v>2767</v>
      </c>
      <c r="D24">
        <v>2</v>
      </c>
      <c r="E24">
        <f t="shared" si="0"/>
        <v>1383.5</v>
      </c>
    </row>
    <row r="25" spans="1:5" x14ac:dyDescent="0.35">
      <c r="A25">
        <v>2023</v>
      </c>
      <c r="B25" t="s">
        <v>311</v>
      </c>
      <c r="C25">
        <v>4429</v>
      </c>
      <c r="D25">
        <v>10</v>
      </c>
      <c r="E25">
        <f t="shared" si="0"/>
        <v>442.9</v>
      </c>
    </row>
    <row r="26" spans="1:5" x14ac:dyDescent="0.35">
      <c r="A26">
        <v>2024</v>
      </c>
      <c r="B26" t="s">
        <v>306</v>
      </c>
      <c r="C26">
        <v>0</v>
      </c>
      <c r="D26">
        <v>0</v>
      </c>
      <c r="E26">
        <v>0</v>
      </c>
    </row>
    <row r="27" spans="1:5" x14ac:dyDescent="0.35">
      <c r="A27">
        <v>2024</v>
      </c>
      <c r="B27" t="s">
        <v>307</v>
      </c>
      <c r="C27">
        <v>3747</v>
      </c>
      <c r="D27">
        <v>5</v>
      </c>
      <c r="E27">
        <f t="shared" si="0"/>
        <v>749.4</v>
      </c>
    </row>
    <row r="28" spans="1:5" x14ac:dyDescent="0.35">
      <c r="A28">
        <v>2024</v>
      </c>
      <c r="B28" t="s">
        <v>308</v>
      </c>
      <c r="C28">
        <v>5457</v>
      </c>
      <c r="D28">
        <v>7</v>
      </c>
      <c r="E28">
        <f t="shared" si="0"/>
        <v>779.57142857142856</v>
      </c>
    </row>
    <row r="29" spans="1:5" x14ac:dyDescent="0.35">
      <c r="A29">
        <v>2024</v>
      </c>
      <c r="B29" t="s">
        <v>309</v>
      </c>
      <c r="C29">
        <v>3525</v>
      </c>
      <c r="D29">
        <v>11</v>
      </c>
      <c r="E29">
        <f t="shared" si="0"/>
        <v>320.45454545454544</v>
      </c>
    </row>
    <row r="30" spans="1:5" x14ac:dyDescent="0.35">
      <c r="A30">
        <v>2024</v>
      </c>
      <c r="B30" t="s">
        <v>310</v>
      </c>
      <c r="C30">
        <v>2673</v>
      </c>
      <c r="D30">
        <v>2</v>
      </c>
      <c r="E30">
        <f t="shared" si="0"/>
        <v>1336.5</v>
      </c>
    </row>
    <row r="31" spans="1:5" x14ac:dyDescent="0.35">
      <c r="A31">
        <v>2024</v>
      </c>
      <c r="B31" t="s">
        <v>311</v>
      </c>
      <c r="C31">
        <v>4406</v>
      </c>
      <c r="D31">
        <v>10</v>
      </c>
      <c r="E31">
        <f t="shared" si="0"/>
        <v>440.6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D627-187E-4622-900F-4A0B9EC19623}">
  <dimension ref="A1:B44"/>
  <sheetViews>
    <sheetView tabSelected="1" workbookViewId="0">
      <selection activeCell="A3" sqref="A3"/>
    </sheetView>
  </sheetViews>
  <sheetFormatPr defaultRowHeight="14.5" x14ac:dyDescent="0.35"/>
  <cols>
    <col min="1" max="1" width="22.6328125" bestFit="1" customWidth="1"/>
    <col min="2" max="2" width="22" bestFit="1" customWidth="1"/>
    <col min="4" max="4" width="15" customWidth="1"/>
  </cols>
  <sheetData>
    <row r="1" spans="1:2" x14ac:dyDescent="0.35">
      <c r="A1" t="s">
        <v>312</v>
      </c>
      <c r="B1" t="s">
        <v>313</v>
      </c>
    </row>
    <row r="2" spans="1:2" x14ac:dyDescent="0.35">
      <c r="A2" t="s">
        <v>16</v>
      </c>
      <c r="B2" t="s">
        <v>17</v>
      </c>
    </row>
    <row r="3" spans="1:2" x14ac:dyDescent="0.35">
      <c r="A3" t="s">
        <v>16</v>
      </c>
      <c r="B3" t="s">
        <v>26</v>
      </c>
    </row>
    <row r="4" spans="1:2" x14ac:dyDescent="0.35">
      <c r="A4" t="s">
        <v>16</v>
      </c>
      <c r="B4" t="s">
        <v>31</v>
      </c>
    </row>
    <row r="5" spans="1:2" x14ac:dyDescent="0.35">
      <c r="A5" t="s">
        <v>16</v>
      </c>
      <c r="B5" t="s">
        <v>36</v>
      </c>
    </row>
    <row r="6" spans="1:2" x14ac:dyDescent="0.35">
      <c r="A6" t="s">
        <v>16</v>
      </c>
      <c r="B6" t="s">
        <v>41</v>
      </c>
    </row>
    <row r="7" spans="1:2" x14ac:dyDescent="0.35">
      <c r="A7" t="s">
        <v>18</v>
      </c>
      <c r="B7" t="s">
        <v>19</v>
      </c>
    </row>
    <row r="8" spans="1:2" x14ac:dyDescent="0.35">
      <c r="A8" t="s">
        <v>18</v>
      </c>
      <c r="B8" t="s">
        <v>27</v>
      </c>
    </row>
    <row r="9" spans="1:2" x14ac:dyDescent="0.35">
      <c r="A9" t="s">
        <v>18</v>
      </c>
      <c r="B9" t="s">
        <v>32</v>
      </c>
    </row>
    <row r="10" spans="1:2" x14ac:dyDescent="0.35">
      <c r="A10" t="s">
        <v>18</v>
      </c>
      <c r="B10" t="s">
        <v>37</v>
      </c>
    </row>
    <row r="11" spans="1:2" x14ac:dyDescent="0.35">
      <c r="A11" t="s">
        <v>18</v>
      </c>
      <c r="B11" t="s">
        <v>40</v>
      </c>
    </row>
    <row r="12" spans="1:2" x14ac:dyDescent="0.35">
      <c r="A12" t="s">
        <v>18</v>
      </c>
      <c r="B12" t="s">
        <v>44</v>
      </c>
    </row>
    <row r="13" spans="1:2" x14ac:dyDescent="0.35">
      <c r="A13" t="s">
        <v>18</v>
      </c>
      <c r="B13" t="s">
        <v>47</v>
      </c>
    </row>
    <row r="14" spans="1:2" x14ac:dyDescent="0.35">
      <c r="A14" t="s">
        <v>18</v>
      </c>
      <c r="B14" t="s">
        <v>50</v>
      </c>
    </row>
    <row r="15" spans="1:2" x14ac:dyDescent="0.35">
      <c r="A15" t="s">
        <v>18</v>
      </c>
      <c r="B15" t="s">
        <v>62</v>
      </c>
    </row>
    <row r="16" spans="1:2" x14ac:dyDescent="0.35">
      <c r="A16" t="s">
        <v>18</v>
      </c>
      <c r="B16" t="s">
        <v>53</v>
      </c>
    </row>
    <row r="17" spans="1:2" x14ac:dyDescent="0.35">
      <c r="A17" t="s">
        <v>18</v>
      </c>
      <c r="B17" t="s">
        <v>61</v>
      </c>
    </row>
    <row r="18" spans="1:2" x14ac:dyDescent="0.35">
      <c r="A18" t="s">
        <v>20</v>
      </c>
      <c r="B18" t="s">
        <v>21</v>
      </c>
    </row>
    <row r="19" spans="1:2" x14ac:dyDescent="0.35">
      <c r="A19" t="s">
        <v>20</v>
      </c>
      <c r="B19" t="s">
        <v>28</v>
      </c>
    </row>
    <row r="20" spans="1:2" x14ac:dyDescent="0.35">
      <c r="A20" t="s">
        <v>20</v>
      </c>
      <c r="B20" t="s">
        <v>33</v>
      </c>
    </row>
    <row r="21" spans="1:2" x14ac:dyDescent="0.35">
      <c r="A21" t="s">
        <v>20</v>
      </c>
      <c r="B21" t="s">
        <v>38</v>
      </c>
    </row>
    <row r="22" spans="1:2" x14ac:dyDescent="0.35">
      <c r="A22" t="s">
        <v>22</v>
      </c>
      <c r="B22" t="s">
        <v>23</v>
      </c>
    </row>
    <row r="23" spans="1:2" x14ac:dyDescent="0.35">
      <c r="A23" t="s">
        <v>22</v>
      </c>
      <c r="B23" t="s">
        <v>29</v>
      </c>
    </row>
    <row r="24" spans="1:2" x14ac:dyDescent="0.35">
      <c r="A24" t="s">
        <v>22</v>
      </c>
      <c r="B24" t="s">
        <v>34</v>
      </c>
    </row>
    <row r="25" spans="1:2" x14ac:dyDescent="0.35">
      <c r="A25" t="s">
        <v>22</v>
      </c>
      <c r="B25" t="s">
        <v>39</v>
      </c>
    </row>
    <row r="26" spans="1:2" x14ac:dyDescent="0.35">
      <c r="A26" t="s">
        <v>22</v>
      </c>
      <c r="B26" t="s">
        <v>42</v>
      </c>
    </row>
    <row r="27" spans="1:2" x14ac:dyDescent="0.35">
      <c r="A27" t="s">
        <v>22</v>
      </c>
      <c r="B27" t="s">
        <v>45</v>
      </c>
    </row>
    <row r="28" spans="1:2" x14ac:dyDescent="0.35">
      <c r="A28" t="s">
        <v>22</v>
      </c>
      <c r="B28" t="s">
        <v>48</v>
      </c>
    </row>
    <row r="29" spans="1:2" x14ac:dyDescent="0.35">
      <c r="A29" t="s">
        <v>22</v>
      </c>
      <c r="B29" t="s">
        <v>51</v>
      </c>
    </row>
    <row r="30" spans="1:2" x14ac:dyDescent="0.35">
      <c r="A30" t="s">
        <v>22</v>
      </c>
      <c r="B30" t="s">
        <v>60</v>
      </c>
    </row>
    <row r="31" spans="1:2" x14ac:dyDescent="0.35">
      <c r="A31" t="s">
        <v>22</v>
      </c>
      <c r="B31" t="s">
        <v>54</v>
      </c>
    </row>
    <row r="32" spans="1:2" x14ac:dyDescent="0.35">
      <c r="A32" t="s">
        <v>22</v>
      </c>
      <c r="B32" t="s">
        <v>57</v>
      </c>
    </row>
    <row r="33" spans="1:2" x14ac:dyDescent="0.35">
      <c r="A33" t="s">
        <v>22</v>
      </c>
      <c r="B33" t="s">
        <v>58</v>
      </c>
    </row>
    <row r="34" spans="1:2" x14ac:dyDescent="0.35">
      <c r="A34" t="s">
        <v>22</v>
      </c>
      <c r="B34" t="s">
        <v>59</v>
      </c>
    </row>
    <row r="35" spans="1:2" x14ac:dyDescent="0.35">
      <c r="A35" t="s">
        <v>24</v>
      </c>
      <c r="B35" t="s">
        <v>25</v>
      </c>
    </row>
    <row r="36" spans="1:2" x14ac:dyDescent="0.35">
      <c r="A36" t="s">
        <v>24</v>
      </c>
      <c r="B36" t="s">
        <v>30</v>
      </c>
    </row>
    <row r="37" spans="1:2" x14ac:dyDescent="0.35">
      <c r="A37" t="s">
        <v>24</v>
      </c>
      <c r="B37" t="s">
        <v>35</v>
      </c>
    </row>
    <row r="38" spans="1:2" x14ac:dyDescent="0.35">
      <c r="A38" t="s">
        <v>24</v>
      </c>
      <c r="B38" t="s">
        <v>40</v>
      </c>
    </row>
    <row r="39" spans="1:2" x14ac:dyDescent="0.35">
      <c r="A39" t="s">
        <v>24</v>
      </c>
      <c r="B39" t="s">
        <v>43</v>
      </c>
    </row>
    <row r="40" spans="1:2" x14ac:dyDescent="0.35">
      <c r="A40" t="s">
        <v>24</v>
      </c>
      <c r="B40" t="s">
        <v>46</v>
      </c>
    </row>
    <row r="41" spans="1:2" x14ac:dyDescent="0.35">
      <c r="A41" t="s">
        <v>24</v>
      </c>
      <c r="B41" t="s">
        <v>49</v>
      </c>
    </row>
    <row r="42" spans="1:2" x14ac:dyDescent="0.35">
      <c r="A42" t="s">
        <v>24</v>
      </c>
      <c r="B42" t="s">
        <v>52</v>
      </c>
    </row>
    <row r="43" spans="1:2" x14ac:dyDescent="0.35">
      <c r="A43" t="s">
        <v>24</v>
      </c>
      <c r="B43" t="s">
        <v>56</v>
      </c>
    </row>
    <row r="44" spans="1:2" x14ac:dyDescent="0.35">
      <c r="A44" t="s">
        <v>24</v>
      </c>
      <c r="B4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dunia_hindu</vt:lpstr>
      <vt:lpstr>Sheet1</vt:lpstr>
      <vt:lpstr>nasional_terbaru</vt:lpstr>
      <vt:lpstr>jakarta_pura</vt:lpstr>
      <vt:lpstr>jakarta_umat</vt:lpstr>
      <vt:lpstr>tempek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Luh Putri</dc:creator>
  <cp:lastModifiedBy>Luh Putri</cp:lastModifiedBy>
  <dcterms:created xsi:type="dcterms:W3CDTF">2026-10-02T14:26:59Z</dcterms:created>
  <dcterms:modified xsi:type="dcterms:W3CDTF">2026-10-04T07:04:10Z</dcterms:modified>
</cp:coreProperties>
</file>